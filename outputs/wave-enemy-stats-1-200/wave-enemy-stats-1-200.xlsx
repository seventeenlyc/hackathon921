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hackathon921\outputs\wave-enemy-stats-1-200\"/>
    </mc:Choice>
  </mc:AlternateContent>
  <xr:revisionPtr revIDLastSave="0" documentId="13_ncr:1_{8ECADB35-14FF-46BE-B951-0E09167D19F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波次明细" sheetId="1" r:id="rId1"/>
    <sheet name="敌人基础数值" sheetId="2" r:id="rId2"/>
    <sheet name="规则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4" i="1" l="1"/>
  <c r="O204" i="1"/>
  <c r="N204" i="1"/>
  <c r="K204" i="1"/>
  <c r="J204" i="1"/>
  <c r="H204" i="1"/>
  <c r="G204" i="1"/>
  <c r="E204" i="1"/>
  <c r="C204" i="1"/>
  <c r="Q203" i="1"/>
  <c r="O203" i="1"/>
  <c r="K203" i="1"/>
  <c r="H203" i="1"/>
  <c r="E203" i="1"/>
  <c r="C203" i="1"/>
  <c r="N203" i="1" s="1"/>
  <c r="Q202" i="1"/>
  <c r="O202" i="1"/>
  <c r="N202" i="1"/>
  <c r="K202" i="1"/>
  <c r="H202" i="1"/>
  <c r="G202" i="1"/>
  <c r="E202" i="1"/>
  <c r="C202" i="1"/>
  <c r="J202" i="1" s="1"/>
  <c r="Q201" i="1"/>
  <c r="O201" i="1"/>
  <c r="K201" i="1"/>
  <c r="H201" i="1"/>
  <c r="E201" i="1"/>
  <c r="C201" i="1"/>
  <c r="N201" i="1" s="1"/>
  <c r="Q200" i="1"/>
  <c r="O200" i="1"/>
  <c r="K200" i="1"/>
  <c r="J200" i="1"/>
  <c r="H200" i="1"/>
  <c r="E200" i="1"/>
  <c r="C200" i="1"/>
  <c r="N200" i="1" s="1"/>
  <c r="Q199" i="1"/>
  <c r="O199" i="1"/>
  <c r="K199" i="1"/>
  <c r="H199" i="1"/>
  <c r="E199" i="1"/>
  <c r="C199" i="1"/>
  <c r="J199" i="1" s="1"/>
  <c r="Q198" i="1"/>
  <c r="O198" i="1"/>
  <c r="N198" i="1"/>
  <c r="K198" i="1"/>
  <c r="H198" i="1"/>
  <c r="G198" i="1"/>
  <c r="E198" i="1"/>
  <c r="C198" i="1"/>
  <c r="J198" i="1" s="1"/>
  <c r="Q197" i="1"/>
  <c r="O197" i="1"/>
  <c r="N197" i="1"/>
  <c r="K197" i="1"/>
  <c r="J197" i="1"/>
  <c r="H197" i="1"/>
  <c r="G197" i="1"/>
  <c r="E197" i="1"/>
  <c r="C197" i="1"/>
  <c r="Q196" i="1"/>
  <c r="O196" i="1"/>
  <c r="N196" i="1"/>
  <c r="K196" i="1"/>
  <c r="J196" i="1"/>
  <c r="H196" i="1"/>
  <c r="G196" i="1"/>
  <c r="E196" i="1"/>
  <c r="C196" i="1"/>
  <c r="Q195" i="1"/>
  <c r="O195" i="1"/>
  <c r="N195" i="1"/>
  <c r="K195" i="1"/>
  <c r="J195" i="1"/>
  <c r="H195" i="1"/>
  <c r="G195" i="1"/>
  <c r="E195" i="1"/>
  <c r="C195" i="1"/>
  <c r="Q194" i="1"/>
  <c r="O194" i="1"/>
  <c r="K194" i="1"/>
  <c r="H194" i="1"/>
  <c r="E194" i="1"/>
  <c r="C194" i="1"/>
  <c r="N194" i="1" s="1"/>
  <c r="Q193" i="1"/>
  <c r="O193" i="1"/>
  <c r="N193" i="1"/>
  <c r="K193" i="1"/>
  <c r="J193" i="1"/>
  <c r="H193" i="1"/>
  <c r="E193" i="1"/>
  <c r="C193" i="1"/>
  <c r="G193" i="1" s="1"/>
  <c r="Q192" i="1"/>
  <c r="O192" i="1"/>
  <c r="K192" i="1"/>
  <c r="H192" i="1"/>
  <c r="G192" i="1"/>
  <c r="E192" i="1"/>
  <c r="C192" i="1"/>
  <c r="N192" i="1" s="1"/>
  <c r="Q191" i="1"/>
  <c r="O191" i="1"/>
  <c r="N191" i="1"/>
  <c r="K191" i="1"/>
  <c r="J191" i="1"/>
  <c r="H191" i="1"/>
  <c r="G191" i="1"/>
  <c r="E191" i="1"/>
  <c r="C191" i="1"/>
  <c r="Q190" i="1"/>
  <c r="O190" i="1"/>
  <c r="N190" i="1"/>
  <c r="K190" i="1"/>
  <c r="J190" i="1"/>
  <c r="H190" i="1"/>
  <c r="G190" i="1"/>
  <c r="E190" i="1"/>
  <c r="C190" i="1"/>
  <c r="Q189" i="1"/>
  <c r="O189" i="1"/>
  <c r="N189" i="1"/>
  <c r="K189" i="1"/>
  <c r="J189" i="1"/>
  <c r="H189" i="1"/>
  <c r="G189" i="1"/>
  <c r="E189" i="1"/>
  <c r="C189" i="1"/>
  <c r="O188" i="1"/>
  <c r="N188" i="1"/>
  <c r="K188" i="1"/>
  <c r="J188" i="1"/>
  <c r="H188" i="1"/>
  <c r="G188" i="1"/>
  <c r="E188" i="1"/>
  <c r="C188" i="1"/>
  <c r="Q188" i="1" s="1"/>
  <c r="Q187" i="1"/>
  <c r="O187" i="1"/>
  <c r="K187" i="1"/>
  <c r="H187" i="1"/>
  <c r="E187" i="1"/>
  <c r="C187" i="1"/>
  <c r="N187" i="1" s="1"/>
  <c r="Q186" i="1"/>
  <c r="O186" i="1"/>
  <c r="N186" i="1"/>
  <c r="K186" i="1"/>
  <c r="H186" i="1"/>
  <c r="G186" i="1"/>
  <c r="E186" i="1"/>
  <c r="C186" i="1"/>
  <c r="J186" i="1" s="1"/>
  <c r="Q185" i="1"/>
  <c r="O185" i="1"/>
  <c r="K185" i="1"/>
  <c r="H185" i="1"/>
  <c r="E185" i="1"/>
  <c r="C185" i="1"/>
  <c r="N185" i="1" s="1"/>
  <c r="Q184" i="1"/>
  <c r="O184" i="1"/>
  <c r="K184" i="1"/>
  <c r="J184" i="1"/>
  <c r="H184" i="1"/>
  <c r="E184" i="1"/>
  <c r="C184" i="1"/>
  <c r="N184" i="1" s="1"/>
  <c r="Q183" i="1"/>
  <c r="O183" i="1"/>
  <c r="K183" i="1"/>
  <c r="H183" i="1"/>
  <c r="E183" i="1"/>
  <c r="C183" i="1"/>
  <c r="G183" i="1" s="1"/>
  <c r="Q182" i="1"/>
  <c r="O182" i="1"/>
  <c r="N182" i="1"/>
  <c r="K182" i="1"/>
  <c r="H182" i="1"/>
  <c r="G182" i="1"/>
  <c r="E182" i="1"/>
  <c r="C182" i="1"/>
  <c r="J182" i="1" s="1"/>
  <c r="Q181" i="1"/>
  <c r="O181" i="1"/>
  <c r="N181" i="1"/>
  <c r="K181" i="1"/>
  <c r="J181" i="1"/>
  <c r="H181" i="1"/>
  <c r="G181" i="1"/>
  <c r="E181" i="1"/>
  <c r="C181" i="1"/>
  <c r="Q180" i="1"/>
  <c r="O180" i="1"/>
  <c r="N180" i="1"/>
  <c r="K180" i="1"/>
  <c r="J180" i="1"/>
  <c r="H180" i="1"/>
  <c r="G180" i="1"/>
  <c r="E180" i="1"/>
  <c r="C180" i="1"/>
  <c r="Q179" i="1"/>
  <c r="O179" i="1"/>
  <c r="N179" i="1"/>
  <c r="K179" i="1"/>
  <c r="J179" i="1"/>
  <c r="H179" i="1"/>
  <c r="G179" i="1"/>
  <c r="E179" i="1"/>
  <c r="C179" i="1"/>
  <c r="Q178" i="1"/>
  <c r="O178" i="1"/>
  <c r="K178" i="1"/>
  <c r="H178" i="1"/>
  <c r="E178" i="1"/>
  <c r="C178" i="1"/>
  <c r="N178" i="1" s="1"/>
  <c r="Q177" i="1"/>
  <c r="O177" i="1"/>
  <c r="N177" i="1"/>
  <c r="K177" i="1"/>
  <c r="J177" i="1"/>
  <c r="H177" i="1"/>
  <c r="E177" i="1"/>
  <c r="C177" i="1"/>
  <c r="G177" i="1" s="1"/>
  <c r="Q176" i="1"/>
  <c r="O176" i="1"/>
  <c r="K176" i="1"/>
  <c r="H176" i="1"/>
  <c r="G176" i="1"/>
  <c r="E176" i="1"/>
  <c r="C176" i="1"/>
  <c r="N176" i="1" s="1"/>
  <c r="Q175" i="1"/>
  <c r="O175" i="1"/>
  <c r="N175" i="1"/>
  <c r="K175" i="1"/>
  <c r="J175" i="1"/>
  <c r="H175" i="1"/>
  <c r="G175" i="1"/>
  <c r="E175" i="1"/>
  <c r="C175" i="1"/>
  <c r="Q174" i="1"/>
  <c r="O174" i="1"/>
  <c r="N174" i="1"/>
  <c r="K174" i="1"/>
  <c r="J174" i="1"/>
  <c r="H174" i="1"/>
  <c r="G174" i="1"/>
  <c r="E174" i="1"/>
  <c r="C174" i="1"/>
  <c r="Q173" i="1"/>
  <c r="O173" i="1"/>
  <c r="N173" i="1"/>
  <c r="K173" i="1"/>
  <c r="J173" i="1"/>
  <c r="H173" i="1"/>
  <c r="E173" i="1"/>
  <c r="C173" i="1"/>
  <c r="G173" i="1" s="1"/>
  <c r="O172" i="1"/>
  <c r="N172" i="1"/>
  <c r="K172" i="1"/>
  <c r="J172" i="1"/>
  <c r="H172" i="1"/>
  <c r="G172" i="1"/>
  <c r="E172" i="1"/>
  <c r="C172" i="1"/>
  <c r="Q172" i="1" s="1"/>
  <c r="Q171" i="1"/>
  <c r="O171" i="1"/>
  <c r="K171" i="1"/>
  <c r="H171" i="1"/>
  <c r="E171" i="1"/>
  <c r="C171" i="1"/>
  <c r="N171" i="1" s="1"/>
  <c r="Q170" i="1"/>
  <c r="O170" i="1"/>
  <c r="N170" i="1"/>
  <c r="K170" i="1"/>
  <c r="H170" i="1"/>
  <c r="G170" i="1"/>
  <c r="E170" i="1"/>
  <c r="C170" i="1"/>
  <c r="J170" i="1" s="1"/>
  <c r="Q169" i="1"/>
  <c r="O169" i="1"/>
  <c r="K169" i="1"/>
  <c r="H169" i="1"/>
  <c r="E169" i="1"/>
  <c r="C169" i="1"/>
  <c r="N169" i="1" s="1"/>
  <c r="Q168" i="1"/>
  <c r="O168" i="1"/>
  <c r="K168" i="1"/>
  <c r="J168" i="1"/>
  <c r="H168" i="1"/>
  <c r="E168" i="1"/>
  <c r="C168" i="1"/>
  <c r="N168" i="1" s="1"/>
  <c r="Q167" i="1"/>
  <c r="O167" i="1"/>
  <c r="K167" i="1"/>
  <c r="H167" i="1"/>
  <c r="E167" i="1"/>
  <c r="C167" i="1"/>
  <c r="G167" i="1" s="1"/>
  <c r="Q166" i="1"/>
  <c r="O166" i="1"/>
  <c r="N166" i="1"/>
  <c r="K166" i="1"/>
  <c r="H166" i="1"/>
  <c r="G166" i="1"/>
  <c r="E166" i="1"/>
  <c r="C166" i="1"/>
  <c r="J166" i="1" s="1"/>
  <c r="Q165" i="1"/>
  <c r="O165" i="1"/>
  <c r="N165" i="1"/>
  <c r="K165" i="1"/>
  <c r="J165" i="1"/>
  <c r="H165" i="1"/>
  <c r="G165" i="1"/>
  <c r="E165" i="1"/>
  <c r="C165" i="1"/>
  <c r="Q164" i="1"/>
  <c r="O164" i="1"/>
  <c r="N164" i="1"/>
  <c r="K164" i="1"/>
  <c r="J164" i="1"/>
  <c r="H164" i="1"/>
  <c r="G164" i="1"/>
  <c r="E164" i="1"/>
  <c r="C164" i="1"/>
  <c r="Q163" i="1"/>
  <c r="O163" i="1"/>
  <c r="N163" i="1"/>
  <c r="K163" i="1"/>
  <c r="J163" i="1"/>
  <c r="H163" i="1"/>
  <c r="G163" i="1"/>
  <c r="E163" i="1"/>
  <c r="C163" i="1"/>
  <c r="Q162" i="1"/>
  <c r="O162" i="1"/>
  <c r="K162" i="1"/>
  <c r="H162" i="1"/>
  <c r="E162" i="1"/>
  <c r="C162" i="1"/>
  <c r="N162" i="1" s="1"/>
  <c r="Q161" i="1"/>
  <c r="O161" i="1"/>
  <c r="N161" i="1"/>
  <c r="K161" i="1"/>
  <c r="J161" i="1"/>
  <c r="H161" i="1"/>
  <c r="E161" i="1"/>
  <c r="C161" i="1"/>
  <c r="G161" i="1" s="1"/>
  <c r="Q160" i="1"/>
  <c r="O160" i="1"/>
  <c r="K160" i="1"/>
  <c r="H160" i="1"/>
  <c r="G160" i="1"/>
  <c r="E160" i="1"/>
  <c r="C160" i="1"/>
  <c r="N160" i="1" s="1"/>
  <c r="Q159" i="1"/>
  <c r="O159" i="1"/>
  <c r="N159" i="1"/>
  <c r="K159" i="1"/>
  <c r="J159" i="1"/>
  <c r="H159" i="1"/>
  <c r="G159" i="1"/>
  <c r="E159" i="1"/>
  <c r="C159" i="1"/>
  <c r="Q158" i="1"/>
  <c r="O158" i="1"/>
  <c r="N158" i="1"/>
  <c r="K158" i="1"/>
  <c r="J158" i="1"/>
  <c r="H158" i="1"/>
  <c r="G158" i="1"/>
  <c r="E158" i="1"/>
  <c r="C158" i="1"/>
  <c r="Q157" i="1"/>
  <c r="O157" i="1"/>
  <c r="N157" i="1"/>
  <c r="K157" i="1"/>
  <c r="J157" i="1"/>
  <c r="H157" i="1"/>
  <c r="E157" i="1"/>
  <c r="C157" i="1"/>
  <c r="G157" i="1" s="1"/>
  <c r="O156" i="1"/>
  <c r="N156" i="1"/>
  <c r="K156" i="1"/>
  <c r="J156" i="1"/>
  <c r="H156" i="1"/>
  <c r="G156" i="1"/>
  <c r="E156" i="1"/>
  <c r="C156" i="1"/>
  <c r="Q156" i="1" s="1"/>
  <c r="Q155" i="1"/>
  <c r="O155" i="1"/>
  <c r="K155" i="1"/>
  <c r="H155" i="1"/>
  <c r="E155" i="1"/>
  <c r="C155" i="1"/>
  <c r="N155" i="1" s="1"/>
  <c r="Q154" i="1"/>
  <c r="O154" i="1"/>
  <c r="N154" i="1"/>
  <c r="K154" i="1"/>
  <c r="H154" i="1"/>
  <c r="G154" i="1"/>
  <c r="E154" i="1"/>
  <c r="C154" i="1"/>
  <c r="J154" i="1" s="1"/>
  <c r="Q153" i="1"/>
  <c r="O153" i="1"/>
  <c r="K153" i="1"/>
  <c r="H153" i="1"/>
  <c r="E153" i="1"/>
  <c r="C153" i="1"/>
  <c r="N153" i="1" s="1"/>
  <c r="Q152" i="1"/>
  <c r="O152" i="1"/>
  <c r="K152" i="1"/>
  <c r="J152" i="1"/>
  <c r="H152" i="1"/>
  <c r="E152" i="1"/>
  <c r="C152" i="1"/>
  <c r="N152" i="1" s="1"/>
  <c r="Q151" i="1"/>
  <c r="O151" i="1"/>
  <c r="K151" i="1"/>
  <c r="H151" i="1"/>
  <c r="E151" i="1"/>
  <c r="C151" i="1"/>
  <c r="G151" i="1" s="1"/>
  <c r="Q150" i="1"/>
  <c r="O150" i="1"/>
  <c r="N150" i="1"/>
  <c r="K150" i="1"/>
  <c r="H150" i="1"/>
  <c r="G150" i="1"/>
  <c r="E150" i="1"/>
  <c r="C150" i="1"/>
  <c r="J150" i="1" s="1"/>
  <c r="Q149" i="1"/>
  <c r="O149" i="1"/>
  <c r="N149" i="1"/>
  <c r="K149" i="1"/>
  <c r="J149" i="1"/>
  <c r="H149" i="1"/>
  <c r="G149" i="1"/>
  <c r="E149" i="1"/>
  <c r="C149" i="1"/>
  <c r="Q148" i="1"/>
  <c r="O148" i="1"/>
  <c r="N148" i="1"/>
  <c r="K148" i="1"/>
  <c r="J148" i="1"/>
  <c r="H148" i="1"/>
  <c r="G148" i="1"/>
  <c r="E148" i="1"/>
  <c r="C148" i="1"/>
  <c r="Q147" i="1"/>
  <c r="O147" i="1"/>
  <c r="N147" i="1"/>
  <c r="K147" i="1"/>
  <c r="J147" i="1"/>
  <c r="H147" i="1"/>
  <c r="G147" i="1"/>
  <c r="E147" i="1"/>
  <c r="C147" i="1"/>
  <c r="Q146" i="1"/>
  <c r="O146" i="1"/>
  <c r="K146" i="1"/>
  <c r="H146" i="1"/>
  <c r="E146" i="1"/>
  <c r="C146" i="1"/>
  <c r="N146" i="1" s="1"/>
  <c r="Q145" i="1"/>
  <c r="O145" i="1"/>
  <c r="N145" i="1"/>
  <c r="K145" i="1"/>
  <c r="J145" i="1"/>
  <c r="H145" i="1"/>
  <c r="E145" i="1"/>
  <c r="C145" i="1"/>
  <c r="G145" i="1" s="1"/>
  <c r="Q144" i="1"/>
  <c r="O144" i="1"/>
  <c r="K144" i="1"/>
  <c r="H144" i="1"/>
  <c r="G144" i="1"/>
  <c r="E144" i="1"/>
  <c r="C144" i="1"/>
  <c r="N144" i="1" s="1"/>
  <c r="Q143" i="1"/>
  <c r="O143" i="1"/>
  <c r="N143" i="1"/>
  <c r="K143" i="1"/>
  <c r="H143" i="1"/>
  <c r="G143" i="1"/>
  <c r="E143" i="1"/>
  <c r="C143" i="1"/>
  <c r="J143" i="1" s="1"/>
  <c r="Q142" i="1"/>
  <c r="O142" i="1"/>
  <c r="N142" i="1"/>
  <c r="K142" i="1"/>
  <c r="J142" i="1"/>
  <c r="H142" i="1"/>
  <c r="G142" i="1"/>
  <c r="E142" i="1"/>
  <c r="C142" i="1"/>
  <c r="Q141" i="1"/>
  <c r="O141" i="1"/>
  <c r="K141" i="1"/>
  <c r="J141" i="1"/>
  <c r="H141" i="1"/>
  <c r="E141" i="1"/>
  <c r="C141" i="1"/>
  <c r="N141" i="1" s="1"/>
  <c r="O140" i="1"/>
  <c r="N140" i="1"/>
  <c r="K140" i="1"/>
  <c r="J140" i="1"/>
  <c r="H140" i="1"/>
  <c r="G140" i="1"/>
  <c r="E140" i="1"/>
  <c r="C140" i="1"/>
  <c r="Q140" i="1" s="1"/>
  <c r="Q139" i="1"/>
  <c r="O139" i="1"/>
  <c r="K139" i="1"/>
  <c r="H139" i="1"/>
  <c r="E139" i="1"/>
  <c r="C139" i="1"/>
  <c r="N139" i="1" s="1"/>
  <c r="Q138" i="1"/>
  <c r="O138" i="1"/>
  <c r="N138" i="1"/>
  <c r="K138" i="1"/>
  <c r="H138" i="1"/>
  <c r="G138" i="1"/>
  <c r="E138" i="1"/>
  <c r="C138" i="1"/>
  <c r="J138" i="1" s="1"/>
  <c r="Q137" i="1"/>
  <c r="O137" i="1"/>
  <c r="K137" i="1"/>
  <c r="H137" i="1"/>
  <c r="E137" i="1"/>
  <c r="C137" i="1"/>
  <c r="N137" i="1" s="1"/>
  <c r="Q136" i="1"/>
  <c r="O136" i="1"/>
  <c r="K136" i="1"/>
  <c r="J136" i="1"/>
  <c r="H136" i="1"/>
  <c r="E136" i="1"/>
  <c r="C136" i="1"/>
  <c r="N136" i="1" s="1"/>
  <c r="Q135" i="1"/>
  <c r="O135" i="1"/>
  <c r="K135" i="1"/>
  <c r="H135" i="1"/>
  <c r="E135" i="1"/>
  <c r="C135" i="1"/>
  <c r="N135" i="1" s="1"/>
  <c r="Q134" i="1"/>
  <c r="O134" i="1"/>
  <c r="N134" i="1"/>
  <c r="K134" i="1"/>
  <c r="H134" i="1"/>
  <c r="G134" i="1"/>
  <c r="E134" i="1"/>
  <c r="C134" i="1"/>
  <c r="J134" i="1" s="1"/>
  <c r="Q133" i="1"/>
  <c r="O133" i="1"/>
  <c r="N133" i="1"/>
  <c r="K133" i="1"/>
  <c r="J133" i="1"/>
  <c r="H133" i="1"/>
  <c r="G133" i="1"/>
  <c r="E133" i="1"/>
  <c r="C133" i="1"/>
  <c r="Q132" i="1"/>
  <c r="O132" i="1"/>
  <c r="N132" i="1"/>
  <c r="K132" i="1"/>
  <c r="J132" i="1"/>
  <c r="H132" i="1"/>
  <c r="G132" i="1"/>
  <c r="E132" i="1"/>
  <c r="C132" i="1"/>
  <c r="Q131" i="1"/>
  <c r="O131" i="1"/>
  <c r="N131" i="1"/>
  <c r="K131" i="1"/>
  <c r="J131" i="1"/>
  <c r="H131" i="1"/>
  <c r="G131" i="1"/>
  <c r="E131" i="1"/>
  <c r="C131" i="1"/>
  <c r="Q130" i="1"/>
  <c r="O130" i="1"/>
  <c r="K130" i="1"/>
  <c r="H130" i="1"/>
  <c r="E130" i="1"/>
  <c r="C130" i="1"/>
  <c r="N130" i="1" s="1"/>
  <c r="Q129" i="1"/>
  <c r="O129" i="1"/>
  <c r="N129" i="1"/>
  <c r="K129" i="1"/>
  <c r="J129" i="1"/>
  <c r="H129" i="1"/>
  <c r="E129" i="1"/>
  <c r="C129" i="1"/>
  <c r="G129" i="1" s="1"/>
  <c r="Q128" i="1"/>
  <c r="O128" i="1"/>
  <c r="K128" i="1"/>
  <c r="H128" i="1"/>
  <c r="G128" i="1"/>
  <c r="E128" i="1"/>
  <c r="C128" i="1"/>
  <c r="N128" i="1" s="1"/>
  <c r="Q127" i="1"/>
  <c r="O127" i="1"/>
  <c r="N127" i="1"/>
  <c r="K127" i="1"/>
  <c r="H127" i="1"/>
  <c r="G127" i="1"/>
  <c r="E127" i="1"/>
  <c r="C127" i="1"/>
  <c r="J127" i="1" s="1"/>
  <c r="Q126" i="1"/>
  <c r="O126" i="1"/>
  <c r="N126" i="1"/>
  <c r="K126" i="1"/>
  <c r="J126" i="1"/>
  <c r="H126" i="1"/>
  <c r="G126" i="1"/>
  <c r="E126" i="1"/>
  <c r="C126" i="1"/>
  <c r="Q125" i="1"/>
  <c r="O125" i="1"/>
  <c r="K125" i="1"/>
  <c r="J125" i="1"/>
  <c r="H125" i="1"/>
  <c r="E125" i="1"/>
  <c r="C125" i="1"/>
  <c r="N125" i="1" s="1"/>
  <c r="O124" i="1"/>
  <c r="N124" i="1"/>
  <c r="K124" i="1"/>
  <c r="J124" i="1"/>
  <c r="H124" i="1"/>
  <c r="G124" i="1"/>
  <c r="E124" i="1"/>
  <c r="C124" i="1"/>
  <c r="Q124" i="1" s="1"/>
  <c r="Q123" i="1"/>
  <c r="O123" i="1"/>
  <c r="K123" i="1"/>
  <c r="H123" i="1"/>
  <c r="E123" i="1"/>
  <c r="C123" i="1"/>
  <c r="N123" i="1" s="1"/>
  <c r="Q122" i="1"/>
  <c r="O122" i="1"/>
  <c r="N122" i="1"/>
  <c r="K122" i="1"/>
  <c r="H122" i="1"/>
  <c r="G122" i="1"/>
  <c r="E122" i="1"/>
  <c r="C122" i="1"/>
  <c r="J122" i="1" s="1"/>
  <c r="Q121" i="1"/>
  <c r="O121" i="1"/>
  <c r="K121" i="1"/>
  <c r="H121" i="1"/>
  <c r="E121" i="1"/>
  <c r="C121" i="1"/>
  <c r="N121" i="1" s="1"/>
  <c r="Q120" i="1"/>
  <c r="O120" i="1"/>
  <c r="K120" i="1"/>
  <c r="J120" i="1"/>
  <c r="H120" i="1"/>
  <c r="E120" i="1"/>
  <c r="C120" i="1"/>
  <c r="N120" i="1" s="1"/>
  <c r="Q119" i="1"/>
  <c r="O119" i="1"/>
  <c r="K119" i="1"/>
  <c r="H119" i="1"/>
  <c r="E119" i="1"/>
  <c r="C119" i="1"/>
  <c r="J119" i="1" s="1"/>
  <c r="Q118" i="1"/>
  <c r="O118" i="1"/>
  <c r="N118" i="1"/>
  <c r="K118" i="1"/>
  <c r="H118" i="1"/>
  <c r="G118" i="1"/>
  <c r="E118" i="1"/>
  <c r="C118" i="1"/>
  <c r="J118" i="1" s="1"/>
  <c r="Q117" i="1"/>
  <c r="O117" i="1"/>
  <c r="N117" i="1"/>
  <c r="K117" i="1"/>
  <c r="J117" i="1"/>
  <c r="H117" i="1"/>
  <c r="G117" i="1"/>
  <c r="E117" i="1"/>
  <c r="C117" i="1"/>
  <c r="Q116" i="1"/>
  <c r="O116" i="1"/>
  <c r="N116" i="1"/>
  <c r="K116" i="1"/>
  <c r="J116" i="1"/>
  <c r="H116" i="1"/>
  <c r="G116" i="1"/>
  <c r="E116" i="1"/>
  <c r="C116" i="1"/>
  <c r="Q115" i="1"/>
  <c r="O115" i="1"/>
  <c r="N115" i="1"/>
  <c r="K115" i="1"/>
  <c r="J115" i="1"/>
  <c r="H115" i="1"/>
  <c r="G115" i="1"/>
  <c r="E115" i="1"/>
  <c r="C115" i="1"/>
  <c r="Q114" i="1"/>
  <c r="O114" i="1"/>
  <c r="K114" i="1"/>
  <c r="H114" i="1"/>
  <c r="E114" i="1"/>
  <c r="C114" i="1"/>
  <c r="N114" i="1" s="1"/>
  <c r="Q113" i="1"/>
  <c r="O113" i="1"/>
  <c r="N113" i="1"/>
  <c r="K113" i="1"/>
  <c r="J113" i="1"/>
  <c r="H113" i="1"/>
  <c r="E113" i="1"/>
  <c r="C113" i="1"/>
  <c r="G113" i="1" s="1"/>
  <c r="Q112" i="1"/>
  <c r="O112" i="1"/>
  <c r="K112" i="1"/>
  <c r="H112" i="1"/>
  <c r="G112" i="1"/>
  <c r="E112" i="1"/>
  <c r="C112" i="1"/>
  <c r="N112" i="1" s="1"/>
  <c r="Q111" i="1"/>
  <c r="O111" i="1"/>
  <c r="N111" i="1"/>
  <c r="K111" i="1"/>
  <c r="J111" i="1"/>
  <c r="H111" i="1"/>
  <c r="G111" i="1"/>
  <c r="E111" i="1"/>
  <c r="C111" i="1"/>
  <c r="Q110" i="1"/>
  <c r="O110" i="1"/>
  <c r="N110" i="1"/>
  <c r="K110" i="1"/>
  <c r="J110" i="1"/>
  <c r="H110" i="1"/>
  <c r="G110" i="1"/>
  <c r="E110" i="1"/>
  <c r="C110" i="1"/>
  <c r="Q109" i="1"/>
  <c r="O109" i="1"/>
  <c r="N109" i="1"/>
  <c r="K109" i="1"/>
  <c r="J109" i="1"/>
  <c r="H109" i="1"/>
  <c r="E109" i="1"/>
  <c r="C109" i="1"/>
  <c r="G109" i="1" s="1"/>
  <c r="O108" i="1"/>
  <c r="N108" i="1"/>
  <c r="K108" i="1"/>
  <c r="J108" i="1"/>
  <c r="H108" i="1"/>
  <c r="G108" i="1"/>
  <c r="E108" i="1"/>
  <c r="C108" i="1"/>
  <c r="Q108" i="1" s="1"/>
  <c r="Q107" i="1"/>
  <c r="O107" i="1"/>
  <c r="K107" i="1"/>
  <c r="H107" i="1"/>
  <c r="E107" i="1"/>
  <c r="C107" i="1"/>
  <c r="N107" i="1" s="1"/>
  <c r="Q106" i="1"/>
  <c r="O106" i="1"/>
  <c r="N106" i="1"/>
  <c r="K106" i="1"/>
  <c r="H106" i="1"/>
  <c r="G106" i="1"/>
  <c r="E106" i="1"/>
  <c r="C106" i="1"/>
  <c r="J106" i="1" s="1"/>
  <c r="Q105" i="1"/>
  <c r="O105" i="1"/>
  <c r="K105" i="1"/>
  <c r="H105" i="1"/>
  <c r="E105" i="1"/>
  <c r="C105" i="1"/>
  <c r="N105" i="1" s="1"/>
  <c r="Q104" i="1"/>
  <c r="O104" i="1"/>
  <c r="K104" i="1"/>
  <c r="J104" i="1"/>
  <c r="H104" i="1"/>
  <c r="E104" i="1"/>
  <c r="C104" i="1"/>
  <c r="N104" i="1" s="1"/>
  <c r="Q103" i="1"/>
  <c r="O103" i="1"/>
  <c r="K103" i="1"/>
  <c r="H103" i="1"/>
  <c r="E103" i="1"/>
  <c r="C103" i="1"/>
  <c r="J103" i="1" s="1"/>
  <c r="Q102" i="1"/>
  <c r="O102" i="1"/>
  <c r="N102" i="1"/>
  <c r="K102" i="1"/>
  <c r="H102" i="1"/>
  <c r="G102" i="1"/>
  <c r="E102" i="1"/>
  <c r="C102" i="1"/>
  <c r="J102" i="1" s="1"/>
  <c r="Q101" i="1"/>
  <c r="O101" i="1"/>
  <c r="N101" i="1"/>
  <c r="K101" i="1"/>
  <c r="J101" i="1"/>
  <c r="H101" i="1"/>
  <c r="G101" i="1"/>
  <c r="E101" i="1"/>
  <c r="C101" i="1"/>
  <c r="Q100" i="1"/>
  <c r="O100" i="1"/>
  <c r="N100" i="1"/>
  <c r="K100" i="1"/>
  <c r="J100" i="1"/>
  <c r="H100" i="1"/>
  <c r="G100" i="1"/>
  <c r="E100" i="1"/>
  <c r="C100" i="1"/>
  <c r="Q99" i="1"/>
  <c r="O99" i="1"/>
  <c r="N99" i="1"/>
  <c r="K99" i="1"/>
  <c r="J99" i="1"/>
  <c r="H99" i="1"/>
  <c r="G99" i="1"/>
  <c r="E99" i="1"/>
  <c r="C99" i="1"/>
  <c r="Q98" i="1"/>
  <c r="O98" i="1"/>
  <c r="K98" i="1"/>
  <c r="H98" i="1"/>
  <c r="E98" i="1"/>
  <c r="C98" i="1"/>
  <c r="N98" i="1" s="1"/>
  <c r="Q97" i="1"/>
  <c r="O97" i="1"/>
  <c r="N97" i="1"/>
  <c r="K97" i="1"/>
  <c r="J97" i="1"/>
  <c r="H97" i="1"/>
  <c r="E97" i="1"/>
  <c r="C97" i="1"/>
  <c r="G97" i="1" s="1"/>
  <c r="Q96" i="1"/>
  <c r="O96" i="1"/>
  <c r="K96" i="1"/>
  <c r="H96" i="1"/>
  <c r="G96" i="1"/>
  <c r="E96" i="1"/>
  <c r="C96" i="1"/>
  <c r="N96" i="1" s="1"/>
  <c r="Q95" i="1"/>
  <c r="O95" i="1"/>
  <c r="N95" i="1"/>
  <c r="K95" i="1"/>
  <c r="H95" i="1"/>
  <c r="G95" i="1"/>
  <c r="E95" i="1"/>
  <c r="C95" i="1"/>
  <c r="J95" i="1" s="1"/>
  <c r="Q94" i="1"/>
  <c r="O94" i="1"/>
  <c r="N94" i="1"/>
  <c r="K94" i="1"/>
  <c r="J94" i="1"/>
  <c r="H94" i="1"/>
  <c r="G94" i="1"/>
  <c r="E94" i="1"/>
  <c r="C94" i="1"/>
  <c r="Q93" i="1"/>
  <c r="O93" i="1"/>
  <c r="K93" i="1"/>
  <c r="J93" i="1"/>
  <c r="H93" i="1"/>
  <c r="E93" i="1"/>
  <c r="C93" i="1"/>
  <c r="N93" i="1" s="1"/>
  <c r="O92" i="1"/>
  <c r="N92" i="1"/>
  <c r="K92" i="1"/>
  <c r="J92" i="1"/>
  <c r="H92" i="1"/>
  <c r="G92" i="1"/>
  <c r="E92" i="1"/>
  <c r="C92" i="1"/>
  <c r="Q92" i="1" s="1"/>
  <c r="Q91" i="1"/>
  <c r="O91" i="1"/>
  <c r="K91" i="1"/>
  <c r="H91" i="1"/>
  <c r="E91" i="1"/>
  <c r="C91" i="1"/>
  <c r="N91" i="1" s="1"/>
  <c r="Q90" i="1"/>
  <c r="O90" i="1"/>
  <c r="N90" i="1"/>
  <c r="K90" i="1"/>
  <c r="H90" i="1"/>
  <c r="G90" i="1"/>
  <c r="E90" i="1"/>
  <c r="C90" i="1"/>
  <c r="J90" i="1" s="1"/>
  <c r="Q89" i="1"/>
  <c r="O89" i="1"/>
  <c r="K89" i="1"/>
  <c r="H89" i="1"/>
  <c r="E89" i="1"/>
  <c r="C89" i="1"/>
  <c r="G89" i="1" s="1"/>
  <c r="Q88" i="1"/>
  <c r="O88" i="1"/>
  <c r="K88" i="1"/>
  <c r="J88" i="1"/>
  <c r="H88" i="1"/>
  <c r="E88" i="1"/>
  <c r="C88" i="1"/>
  <c r="N88" i="1" s="1"/>
  <c r="Q87" i="1"/>
  <c r="O87" i="1"/>
  <c r="K87" i="1"/>
  <c r="H87" i="1"/>
  <c r="E87" i="1"/>
  <c r="C87" i="1"/>
  <c r="J87" i="1" s="1"/>
  <c r="Q86" i="1"/>
  <c r="O86" i="1"/>
  <c r="N86" i="1"/>
  <c r="K86" i="1"/>
  <c r="H86" i="1"/>
  <c r="G86" i="1"/>
  <c r="E86" i="1"/>
  <c r="C86" i="1"/>
  <c r="J86" i="1" s="1"/>
  <c r="Q85" i="1"/>
  <c r="O85" i="1"/>
  <c r="N85" i="1"/>
  <c r="K85" i="1"/>
  <c r="J85" i="1"/>
  <c r="H85" i="1"/>
  <c r="G85" i="1"/>
  <c r="E85" i="1"/>
  <c r="C85" i="1"/>
  <c r="Q84" i="1"/>
  <c r="O84" i="1"/>
  <c r="N84" i="1"/>
  <c r="K84" i="1"/>
  <c r="J84" i="1"/>
  <c r="H84" i="1"/>
  <c r="G84" i="1"/>
  <c r="E84" i="1"/>
  <c r="C84" i="1"/>
  <c r="Q83" i="1"/>
  <c r="O83" i="1"/>
  <c r="N83" i="1"/>
  <c r="K83" i="1"/>
  <c r="J83" i="1"/>
  <c r="H83" i="1"/>
  <c r="G83" i="1"/>
  <c r="E83" i="1"/>
  <c r="C83" i="1"/>
  <c r="Q82" i="1"/>
  <c r="O82" i="1"/>
  <c r="K82" i="1"/>
  <c r="H82" i="1"/>
  <c r="E82" i="1"/>
  <c r="C82" i="1"/>
  <c r="N82" i="1" s="1"/>
  <c r="Q81" i="1"/>
  <c r="O81" i="1"/>
  <c r="N81" i="1"/>
  <c r="K81" i="1"/>
  <c r="J81" i="1"/>
  <c r="H81" i="1"/>
  <c r="E81" i="1"/>
  <c r="C81" i="1"/>
  <c r="G81" i="1" s="1"/>
  <c r="Q80" i="1"/>
  <c r="O80" i="1"/>
  <c r="K80" i="1"/>
  <c r="H80" i="1"/>
  <c r="G80" i="1"/>
  <c r="E80" i="1"/>
  <c r="C80" i="1"/>
  <c r="N80" i="1" s="1"/>
  <c r="Q79" i="1"/>
  <c r="O79" i="1"/>
  <c r="N79" i="1"/>
  <c r="K79" i="1"/>
  <c r="H79" i="1"/>
  <c r="G79" i="1"/>
  <c r="E79" i="1"/>
  <c r="C79" i="1"/>
  <c r="J79" i="1" s="1"/>
  <c r="Q78" i="1"/>
  <c r="O78" i="1"/>
  <c r="N78" i="1"/>
  <c r="K78" i="1"/>
  <c r="J78" i="1"/>
  <c r="H78" i="1"/>
  <c r="G78" i="1"/>
  <c r="E78" i="1"/>
  <c r="C78" i="1"/>
  <c r="Q77" i="1"/>
  <c r="O77" i="1"/>
  <c r="K77" i="1"/>
  <c r="J77" i="1"/>
  <c r="H77" i="1"/>
  <c r="E77" i="1"/>
  <c r="C77" i="1"/>
  <c r="N77" i="1" s="1"/>
  <c r="O76" i="1"/>
  <c r="N76" i="1"/>
  <c r="K76" i="1"/>
  <c r="J76" i="1"/>
  <c r="H76" i="1"/>
  <c r="G76" i="1"/>
  <c r="E76" i="1"/>
  <c r="C76" i="1"/>
  <c r="Q76" i="1" s="1"/>
  <c r="Q75" i="1"/>
  <c r="O75" i="1"/>
  <c r="K75" i="1"/>
  <c r="H75" i="1"/>
  <c r="E75" i="1"/>
  <c r="C75" i="1"/>
  <c r="N75" i="1" s="1"/>
  <c r="Q74" i="1"/>
  <c r="O74" i="1"/>
  <c r="N74" i="1"/>
  <c r="K74" i="1"/>
  <c r="H74" i="1"/>
  <c r="G74" i="1"/>
  <c r="E74" i="1"/>
  <c r="C74" i="1"/>
  <c r="J74" i="1" s="1"/>
  <c r="Q73" i="1"/>
  <c r="O73" i="1"/>
  <c r="K73" i="1"/>
  <c r="H73" i="1"/>
  <c r="E73" i="1"/>
  <c r="C73" i="1"/>
  <c r="G73" i="1" s="1"/>
  <c r="Q72" i="1"/>
  <c r="O72" i="1"/>
  <c r="K72" i="1"/>
  <c r="J72" i="1"/>
  <c r="H72" i="1"/>
  <c r="E72" i="1"/>
  <c r="C72" i="1"/>
  <c r="N72" i="1" s="1"/>
  <c r="Q71" i="1"/>
  <c r="O71" i="1"/>
  <c r="K71" i="1"/>
  <c r="H71" i="1"/>
  <c r="E71" i="1"/>
  <c r="C71" i="1"/>
  <c r="J71" i="1" s="1"/>
  <c r="Q70" i="1"/>
  <c r="O70" i="1"/>
  <c r="N70" i="1"/>
  <c r="K70" i="1"/>
  <c r="H70" i="1"/>
  <c r="G70" i="1"/>
  <c r="E70" i="1"/>
  <c r="C70" i="1"/>
  <c r="J70" i="1" s="1"/>
  <c r="Q69" i="1"/>
  <c r="O69" i="1"/>
  <c r="N69" i="1"/>
  <c r="K69" i="1"/>
  <c r="J69" i="1"/>
  <c r="H69" i="1"/>
  <c r="G69" i="1"/>
  <c r="E69" i="1"/>
  <c r="C69" i="1"/>
  <c r="Q68" i="1"/>
  <c r="O68" i="1"/>
  <c r="N68" i="1"/>
  <c r="K68" i="1"/>
  <c r="J68" i="1"/>
  <c r="H68" i="1"/>
  <c r="G68" i="1"/>
  <c r="E68" i="1"/>
  <c r="C68" i="1"/>
  <c r="Q67" i="1"/>
  <c r="O67" i="1"/>
  <c r="N67" i="1"/>
  <c r="K67" i="1"/>
  <c r="J67" i="1"/>
  <c r="H67" i="1"/>
  <c r="G67" i="1"/>
  <c r="E67" i="1"/>
  <c r="C67" i="1"/>
  <c r="Q66" i="1"/>
  <c r="O66" i="1"/>
  <c r="K66" i="1"/>
  <c r="H66" i="1"/>
  <c r="E66" i="1"/>
  <c r="C66" i="1"/>
  <c r="N66" i="1" s="1"/>
  <c r="Q65" i="1"/>
  <c r="O65" i="1"/>
  <c r="N65" i="1"/>
  <c r="K65" i="1"/>
  <c r="J65" i="1"/>
  <c r="H65" i="1"/>
  <c r="E65" i="1"/>
  <c r="C65" i="1"/>
  <c r="G65" i="1" s="1"/>
  <c r="Q64" i="1"/>
  <c r="O64" i="1"/>
  <c r="K64" i="1"/>
  <c r="H64" i="1"/>
  <c r="E64" i="1"/>
  <c r="C64" i="1"/>
  <c r="G64" i="1" s="1"/>
  <c r="Q63" i="1"/>
  <c r="O63" i="1"/>
  <c r="N63" i="1"/>
  <c r="K63" i="1"/>
  <c r="H63" i="1"/>
  <c r="G63" i="1"/>
  <c r="E63" i="1"/>
  <c r="C63" i="1"/>
  <c r="J63" i="1" s="1"/>
  <c r="Q62" i="1"/>
  <c r="O62" i="1"/>
  <c r="N62" i="1"/>
  <c r="K62" i="1"/>
  <c r="J62" i="1"/>
  <c r="H62" i="1"/>
  <c r="G62" i="1"/>
  <c r="E62" i="1"/>
  <c r="C62" i="1"/>
  <c r="Q61" i="1"/>
  <c r="O61" i="1"/>
  <c r="N61" i="1"/>
  <c r="K61" i="1"/>
  <c r="J61" i="1"/>
  <c r="H61" i="1"/>
  <c r="G61" i="1"/>
  <c r="E61" i="1"/>
  <c r="C61" i="1"/>
  <c r="O60" i="1"/>
  <c r="N60" i="1"/>
  <c r="K60" i="1"/>
  <c r="J60" i="1"/>
  <c r="H60" i="1"/>
  <c r="G60" i="1"/>
  <c r="E60" i="1"/>
  <c r="C60" i="1"/>
  <c r="Q60" i="1" s="1"/>
  <c r="Q59" i="1"/>
  <c r="O59" i="1"/>
  <c r="K59" i="1"/>
  <c r="H59" i="1"/>
  <c r="E59" i="1"/>
  <c r="C59" i="1"/>
  <c r="N59" i="1" s="1"/>
  <c r="Q58" i="1"/>
  <c r="O58" i="1"/>
  <c r="N58" i="1"/>
  <c r="K58" i="1"/>
  <c r="H58" i="1"/>
  <c r="G58" i="1"/>
  <c r="E58" i="1"/>
  <c r="C58" i="1"/>
  <c r="J58" i="1" s="1"/>
  <c r="Q57" i="1"/>
  <c r="O57" i="1"/>
  <c r="K57" i="1"/>
  <c r="H57" i="1"/>
  <c r="E57" i="1"/>
  <c r="C57" i="1"/>
  <c r="N57" i="1" s="1"/>
  <c r="Q56" i="1"/>
  <c r="O56" i="1"/>
  <c r="K56" i="1"/>
  <c r="J56" i="1"/>
  <c r="H56" i="1"/>
  <c r="E56" i="1"/>
  <c r="C56" i="1"/>
  <c r="N56" i="1" s="1"/>
  <c r="Q55" i="1"/>
  <c r="O55" i="1"/>
  <c r="K55" i="1"/>
  <c r="H55" i="1"/>
  <c r="E55" i="1"/>
  <c r="C55" i="1"/>
  <c r="J55" i="1" s="1"/>
  <c r="Q54" i="1"/>
  <c r="O54" i="1"/>
  <c r="N54" i="1"/>
  <c r="K54" i="1"/>
  <c r="H54" i="1"/>
  <c r="G54" i="1"/>
  <c r="E54" i="1"/>
  <c r="C54" i="1"/>
  <c r="J54" i="1" s="1"/>
  <c r="Q53" i="1"/>
  <c r="O53" i="1"/>
  <c r="N53" i="1"/>
  <c r="K53" i="1"/>
  <c r="J53" i="1"/>
  <c r="H53" i="1"/>
  <c r="G53" i="1"/>
  <c r="E53" i="1"/>
  <c r="C53" i="1"/>
  <c r="Q52" i="1"/>
  <c r="O52" i="1"/>
  <c r="N52" i="1"/>
  <c r="K52" i="1"/>
  <c r="J52" i="1"/>
  <c r="H52" i="1"/>
  <c r="G52" i="1"/>
  <c r="E52" i="1"/>
  <c r="C52" i="1"/>
  <c r="Q51" i="1"/>
  <c r="O51" i="1"/>
  <c r="N51" i="1"/>
  <c r="K51" i="1"/>
  <c r="J51" i="1"/>
  <c r="H51" i="1"/>
  <c r="G51" i="1"/>
  <c r="E51" i="1"/>
  <c r="C51" i="1"/>
  <c r="Q50" i="1"/>
  <c r="O50" i="1"/>
  <c r="K50" i="1"/>
  <c r="H50" i="1"/>
  <c r="E50" i="1"/>
  <c r="C50" i="1"/>
  <c r="N50" i="1" s="1"/>
  <c r="Q49" i="1"/>
  <c r="O49" i="1"/>
  <c r="N49" i="1"/>
  <c r="K49" i="1"/>
  <c r="J49" i="1"/>
  <c r="H49" i="1"/>
  <c r="E49" i="1"/>
  <c r="C49" i="1"/>
  <c r="G49" i="1" s="1"/>
  <c r="Q48" i="1"/>
  <c r="O48" i="1"/>
  <c r="K48" i="1"/>
  <c r="H48" i="1"/>
  <c r="E48" i="1"/>
  <c r="C48" i="1"/>
  <c r="G48" i="1" s="1"/>
  <c r="Q47" i="1"/>
  <c r="O47" i="1"/>
  <c r="N47" i="1"/>
  <c r="K47" i="1"/>
  <c r="H47" i="1"/>
  <c r="G47" i="1"/>
  <c r="E47" i="1"/>
  <c r="C47" i="1"/>
  <c r="J47" i="1" s="1"/>
  <c r="Q46" i="1"/>
  <c r="O46" i="1"/>
  <c r="N46" i="1"/>
  <c r="K46" i="1"/>
  <c r="J46" i="1"/>
  <c r="H46" i="1"/>
  <c r="G46" i="1"/>
  <c r="E46" i="1"/>
  <c r="C46" i="1"/>
  <c r="Q45" i="1"/>
  <c r="O45" i="1"/>
  <c r="K45" i="1"/>
  <c r="J45" i="1"/>
  <c r="H45" i="1"/>
  <c r="E45" i="1"/>
  <c r="C45" i="1"/>
  <c r="N45" i="1" s="1"/>
  <c r="O44" i="1"/>
  <c r="N44" i="1"/>
  <c r="K44" i="1"/>
  <c r="J44" i="1"/>
  <c r="H44" i="1"/>
  <c r="G44" i="1"/>
  <c r="E44" i="1"/>
  <c r="C44" i="1"/>
  <c r="Q44" i="1" s="1"/>
  <c r="Q43" i="1"/>
  <c r="O43" i="1"/>
  <c r="K43" i="1"/>
  <c r="H43" i="1"/>
  <c r="E43" i="1"/>
  <c r="C43" i="1"/>
  <c r="N43" i="1" s="1"/>
  <c r="Q42" i="1"/>
  <c r="O42" i="1"/>
  <c r="N42" i="1"/>
  <c r="K42" i="1"/>
  <c r="H42" i="1"/>
  <c r="G42" i="1"/>
  <c r="E42" i="1"/>
  <c r="C42" i="1"/>
  <c r="J42" i="1" s="1"/>
  <c r="Q41" i="1"/>
  <c r="O41" i="1"/>
  <c r="K41" i="1"/>
  <c r="H41" i="1"/>
  <c r="E41" i="1"/>
  <c r="C41" i="1"/>
  <c r="G41" i="1" s="1"/>
  <c r="Q40" i="1"/>
  <c r="O40" i="1"/>
  <c r="K40" i="1"/>
  <c r="J40" i="1"/>
  <c r="H40" i="1"/>
  <c r="E40" i="1"/>
  <c r="C40" i="1"/>
  <c r="N40" i="1" s="1"/>
  <c r="Q39" i="1"/>
  <c r="O39" i="1"/>
  <c r="K39" i="1"/>
  <c r="H39" i="1"/>
  <c r="E39" i="1"/>
  <c r="C39" i="1"/>
  <c r="G39" i="1" s="1"/>
  <c r="Q38" i="1"/>
  <c r="O38" i="1"/>
  <c r="N38" i="1"/>
  <c r="K38" i="1"/>
  <c r="H38" i="1"/>
  <c r="G38" i="1"/>
  <c r="E38" i="1"/>
  <c r="C38" i="1"/>
  <c r="J38" i="1" s="1"/>
  <c r="Q37" i="1"/>
  <c r="O37" i="1"/>
  <c r="N37" i="1"/>
  <c r="K37" i="1"/>
  <c r="J37" i="1"/>
  <c r="H37" i="1"/>
  <c r="G37" i="1"/>
  <c r="E37" i="1"/>
  <c r="C37" i="1"/>
  <c r="Q36" i="1"/>
  <c r="O36" i="1"/>
  <c r="N36" i="1"/>
  <c r="K36" i="1"/>
  <c r="J36" i="1"/>
  <c r="H36" i="1"/>
  <c r="G36" i="1"/>
  <c r="E36" i="1"/>
  <c r="C36" i="1"/>
  <c r="Q35" i="1"/>
  <c r="O35" i="1"/>
  <c r="N35" i="1"/>
  <c r="K35" i="1"/>
  <c r="J35" i="1"/>
  <c r="H35" i="1"/>
  <c r="G35" i="1"/>
  <c r="E35" i="1"/>
  <c r="C35" i="1"/>
  <c r="Q34" i="1"/>
  <c r="O34" i="1"/>
  <c r="K34" i="1"/>
  <c r="H34" i="1"/>
  <c r="E34" i="1"/>
  <c r="C34" i="1"/>
  <c r="N34" i="1" s="1"/>
  <c r="Q33" i="1"/>
  <c r="O33" i="1"/>
  <c r="N33" i="1"/>
  <c r="K33" i="1"/>
  <c r="J33" i="1"/>
  <c r="H33" i="1"/>
  <c r="E33" i="1"/>
  <c r="C33" i="1"/>
  <c r="G33" i="1" s="1"/>
  <c r="Q32" i="1"/>
  <c r="O32" i="1"/>
  <c r="K32" i="1"/>
  <c r="H32" i="1"/>
  <c r="E32" i="1"/>
  <c r="C32" i="1"/>
  <c r="N32" i="1" s="1"/>
  <c r="Q31" i="1"/>
  <c r="O31" i="1"/>
  <c r="N31" i="1"/>
  <c r="K31" i="1"/>
  <c r="H31" i="1"/>
  <c r="G31" i="1"/>
  <c r="E31" i="1"/>
  <c r="C31" i="1"/>
  <c r="J31" i="1" s="1"/>
  <c r="Q30" i="1"/>
  <c r="O30" i="1"/>
  <c r="N30" i="1"/>
  <c r="K30" i="1"/>
  <c r="J30" i="1"/>
  <c r="H30" i="1"/>
  <c r="G30" i="1"/>
  <c r="E30" i="1"/>
  <c r="C30" i="1"/>
  <c r="Q29" i="1"/>
  <c r="O29" i="1"/>
  <c r="K29" i="1"/>
  <c r="J29" i="1"/>
  <c r="H29" i="1"/>
  <c r="G29" i="1"/>
  <c r="E29" i="1"/>
  <c r="C29" i="1"/>
  <c r="N29" i="1" s="1"/>
  <c r="O28" i="1"/>
  <c r="N28" i="1"/>
  <c r="K28" i="1"/>
  <c r="J28" i="1"/>
  <c r="H28" i="1"/>
  <c r="G28" i="1"/>
  <c r="E28" i="1"/>
  <c r="C28" i="1"/>
  <c r="Q28" i="1" s="1"/>
  <c r="Q27" i="1"/>
  <c r="O27" i="1"/>
  <c r="K27" i="1"/>
  <c r="H27" i="1"/>
  <c r="E27" i="1"/>
  <c r="C27" i="1"/>
  <c r="N27" i="1" s="1"/>
  <c r="Q26" i="1"/>
  <c r="O26" i="1"/>
  <c r="N26" i="1"/>
  <c r="K26" i="1"/>
  <c r="H26" i="1"/>
  <c r="G26" i="1"/>
  <c r="E26" i="1"/>
  <c r="C26" i="1"/>
  <c r="J26" i="1" s="1"/>
  <c r="Q25" i="1"/>
  <c r="O25" i="1"/>
  <c r="K25" i="1"/>
  <c r="H25" i="1"/>
  <c r="E25" i="1"/>
  <c r="C25" i="1"/>
  <c r="G25" i="1" s="1"/>
  <c r="Q24" i="1"/>
  <c r="O24" i="1"/>
  <c r="K24" i="1"/>
  <c r="J24" i="1"/>
  <c r="H24" i="1"/>
  <c r="E24" i="1"/>
  <c r="C24" i="1"/>
  <c r="N24" i="1" s="1"/>
  <c r="Q23" i="1"/>
  <c r="O23" i="1"/>
  <c r="K23" i="1"/>
  <c r="H23" i="1"/>
  <c r="E23" i="1"/>
  <c r="C23" i="1"/>
  <c r="J23" i="1" s="1"/>
  <c r="Q22" i="1"/>
  <c r="O22" i="1"/>
  <c r="N22" i="1"/>
  <c r="K22" i="1"/>
  <c r="H22" i="1"/>
  <c r="G22" i="1"/>
  <c r="E22" i="1"/>
  <c r="C22" i="1"/>
  <c r="J22" i="1" s="1"/>
  <c r="Q21" i="1"/>
  <c r="O21" i="1"/>
  <c r="N21" i="1"/>
  <c r="K21" i="1"/>
  <c r="J21" i="1"/>
  <c r="H21" i="1"/>
  <c r="G21" i="1"/>
  <c r="E21" i="1"/>
  <c r="C21" i="1"/>
  <c r="Q20" i="1"/>
  <c r="O20" i="1"/>
  <c r="N20" i="1"/>
  <c r="K20" i="1"/>
  <c r="J20" i="1"/>
  <c r="H20" i="1"/>
  <c r="G20" i="1"/>
  <c r="E20" i="1"/>
  <c r="C20" i="1"/>
  <c r="Q19" i="1"/>
  <c r="O19" i="1"/>
  <c r="N19" i="1"/>
  <c r="K19" i="1"/>
  <c r="J19" i="1"/>
  <c r="H19" i="1"/>
  <c r="G19" i="1"/>
  <c r="E19" i="1"/>
  <c r="C19" i="1"/>
  <c r="Q18" i="1"/>
  <c r="O18" i="1"/>
  <c r="K18" i="1"/>
  <c r="H18" i="1"/>
  <c r="E18" i="1"/>
  <c r="C18" i="1"/>
  <c r="N18" i="1" s="1"/>
  <c r="Q17" i="1"/>
  <c r="O17" i="1"/>
  <c r="N17" i="1"/>
  <c r="K17" i="1"/>
  <c r="J17" i="1"/>
  <c r="H17" i="1"/>
  <c r="E17" i="1"/>
  <c r="C17" i="1"/>
  <c r="G17" i="1" s="1"/>
  <c r="Q16" i="1"/>
  <c r="O16" i="1"/>
  <c r="K16" i="1"/>
  <c r="H16" i="1"/>
  <c r="E16" i="1"/>
  <c r="C16" i="1"/>
  <c r="G16" i="1" s="1"/>
  <c r="Q15" i="1"/>
  <c r="O15" i="1"/>
  <c r="N15" i="1"/>
  <c r="K15" i="1"/>
  <c r="J15" i="1"/>
  <c r="H15" i="1"/>
  <c r="G15" i="1"/>
  <c r="E15" i="1"/>
  <c r="C15" i="1"/>
  <c r="Q14" i="1"/>
  <c r="O14" i="1"/>
  <c r="N14" i="1"/>
  <c r="K14" i="1"/>
  <c r="J14" i="1"/>
  <c r="H14" i="1"/>
  <c r="G14" i="1"/>
  <c r="E14" i="1"/>
  <c r="C14" i="1"/>
  <c r="Q13" i="1"/>
  <c r="O13" i="1"/>
  <c r="N13" i="1"/>
  <c r="K13" i="1"/>
  <c r="J13" i="1"/>
  <c r="H13" i="1"/>
  <c r="E13" i="1"/>
  <c r="C13" i="1"/>
  <c r="G13" i="1" s="1"/>
  <c r="O12" i="1"/>
  <c r="N12" i="1"/>
  <c r="K12" i="1"/>
  <c r="J12" i="1"/>
  <c r="H12" i="1"/>
  <c r="G12" i="1"/>
  <c r="E12" i="1"/>
  <c r="C12" i="1"/>
  <c r="Q12" i="1" s="1"/>
  <c r="Q11" i="1"/>
  <c r="O11" i="1"/>
  <c r="K11" i="1"/>
  <c r="H11" i="1"/>
  <c r="E11" i="1"/>
  <c r="C11" i="1"/>
  <c r="N11" i="1" s="1"/>
  <c r="Q10" i="1"/>
  <c r="O10" i="1"/>
  <c r="N10" i="1"/>
  <c r="K10" i="1"/>
  <c r="H10" i="1"/>
  <c r="G10" i="1"/>
  <c r="E10" i="1"/>
  <c r="C10" i="1"/>
  <c r="J10" i="1" s="1"/>
  <c r="Q9" i="1"/>
  <c r="O9" i="1"/>
  <c r="K9" i="1"/>
  <c r="H9" i="1"/>
  <c r="E9" i="1"/>
  <c r="C9" i="1"/>
  <c r="G9" i="1" s="1"/>
  <c r="Q8" i="1"/>
  <c r="O8" i="1"/>
  <c r="K8" i="1"/>
  <c r="J8" i="1"/>
  <c r="H8" i="1"/>
  <c r="E8" i="1"/>
  <c r="C8" i="1"/>
  <c r="N8" i="1" s="1"/>
  <c r="Q7" i="1"/>
  <c r="O7" i="1"/>
  <c r="N7" i="1"/>
  <c r="K7" i="1"/>
  <c r="J7" i="1"/>
  <c r="H7" i="1"/>
  <c r="G7" i="1"/>
  <c r="C7" i="1"/>
  <c r="E7" i="1" s="1"/>
  <c r="Q6" i="1"/>
  <c r="O6" i="1"/>
  <c r="N6" i="1"/>
  <c r="K6" i="1"/>
  <c r="J6" i="1"/>
  <c r="H6" i="1"/>
  <c r="G6" i="1"/>
  <c r="C6" i="1"/>
  <c r="E6" i="1" s="1"/>
  <c r="Q5" i="1"/>
  <c r="O5" i="1"/>
  <c r="N5" i="1"/>
  <c r="K5" i="1"/>
  <c r="J5" i="1"/>
  <c r="H5" i="1"/>
  <c r="G5" i="1"/>
  <c r="C5" i="1"/>
  <c r="E5" i="1" s="1"/>
  <c r="G103" i="1" l="1"/>
  <c r="G135" i="1"/>
  <c r="G199" i="1"/>
  <c r="G32" i="1"/>
  <c r="J39" i="1"/>
  <c r="G57" i="1"/>
  <c r="G121" i="1"/>
  <c r="J135" i="1"/>
  <c r="G153" i="1"/>
  <c r="G169" i="1"/>
  <c r="G185" i="1"/>
  <c r="G18" i="1"/>
  <c r="G34" i="1"/>
  <c r="J64" i="1"/>
  <c r="G66" i="1"/>
  <c r="J80" i="1"/>
  <c r="G82" i="1"/>
  <c r="J96" i="1"/>
  <c r="G98" i="1"/>
  <c r="J112" i="1"/>
  <c r="G114" i="1"/>
  <c r="J128" i="1"/>
  <c r="G130" i="1"/>
  <c r="J144" i="1"/>
  <c r="G146" i="1"/>
  <c r="J160" i="1"/>
  <c r="G162" i="1"/>
  <c r="J176" i="1"/>
  <c r="G178" i="1"/>
  <c r="J192" i="1"/>
  <c r="G194" i="1"/>
  <c r="J9" i="1"/>
  <c r="G11" i="1"/>
  <c r="N23" i="1"/>
  <c r="J25" i="1"/>
  <c r="G27" i="1"/>
  <c r="N39" i="1"/>
  <c r="J41" i="1"/>
  <c r="G43" i="1"/>
  <c r="N55" i="1"/>
  <c r="J57" i="1"/>
  <c r="G59" i="1"/>
  <c r="N71" i="1"/>
  <c r="J73" i="1"/>
  <c r="G75" i="1"/>
  <c r="N87" i="1"/>
  <c r="J89" i="1"/>
  <c r="G91" i="1"/>
  <c r="N103" i="1"/>
  <c r="J105" i="1"/>
  <c r="G107" i="1"/>
  <c r="N119" i="1"/>
  <c r="J121" i="1"/>
  <c r="G123" i="1"/>
  <c r="J137" i="1"/>
  <c r="G139" i="1"/>
  <c r="N151" i="1"/>
  <c r="J153" i="1"/>
  <c r="G155" i="1"/>
  <c r="N167" i="1"/>
  <c r="J169" i="1"/>
  <c r="G171" i="1"/>
  <c r="N183" i="1"/>
  <c r="J185" i="1"/>
  <c r="G187" i="1"/>
  <c r="N199" i="1"/>
  <c r="J201" i="1"/>
  <c r="G203" i="1"/>
  <c r="J16" i="1"/>
  <c r="G50" i="1"/>
  <c r="J18" i="1"/>
  <c r="J82" i="1"/>
  <c r="J162" i="1"/>
  <c r="J178" i="1"/>
  <c r="J194" i="1"/>
  <c r="G23" i="1"/>
  <c r="G87" i="1"/>
  <c r="G105" i="1"/>
  <c r="G137" i="1"/>
  <c r="J151" i="1"/>
  <c r="J167" i="1"/>
  <c r="J183" i="1"/>
  <c r="G201" i="1"/>
  <c r="J32" i="1"/>
  <c r="J48" i="1"/>
  <c r="N16" i="1"/>
  <c r="J34" i="1"/>
  <c r="N48" i="1"/>
  <c r="J50" i="1"/>
  <c r="N64" i="1"/>
  <c r="J66" i="1"/>
  <c r="J98" i="1"/>
  <c r="J114" i="1"/>
  <c r="J130" i="1"/>
  <c r="J146" i="1"/>
  <c r="N9" i="1"/>
  <c r="J11" i="1"/>
  <c r="N25" i="1"/>
  <c r="J27" i="1"/>
  <c r="N41" i="1"/>
  <c r="J43" i="1"/>
  <c r="G45" i="1"/>
  <c r="J59" i="1"/>
  <c r="N73" i="1"/>
  <c r="J75" i="1"/>
  <c r="G77" i="1"/>
  <c r="N89" i="1"/>
  <c r="J91" i="1"/>
  <c r="G93" i="1"/>
  <c r="J107" i="1"/>
  <c r="J123" i="1"/>
  <c r="G125" i="1"/>
  <c r="J139" i="1"/>
  <c r="G141" i="1"/>
  <c r="J155" i="1"/>
  <c r="J171" i="1"/>
  <c r="J187" i="1"/>
  <c r="J203" i="1"/>
  <c r="G55" i="1"/>
  <c r="G71" i="1"/>
  <c r="G119" i="1"/>
  <c r="G72" i="1"/>
  <c r="G88" i="1"/>
  <c r="G104" i="1"/>
  <c r="G120" i="1"/>
  <c r="G136" i="1"/>
  <c r="G152" i="1"/>
  <c r="G168" i="1"/>
  <c r="G184" i="1"/>
  <c r="G200" i="1"/>
  <c r="G8" i="1"/>
  <c r="G24" i="1"/>
  <c r="G40" i="1"/>
  <c r="G56" i="1"/>
</calcChain>
</file>

<file path=xl/sharedStrings.xml><?xml version="1.0" encoding="utf-8"?>
<sst xmlns="http://schemas.openxmlformats.org/spreadsheetml/2006/main" count="1045" uniqueCount="532">
  <si>
    <t>单路敌人波次明细（第1–200波）</t>
  </si>
  <si>
    <t>范围：单路 = map.enemyBases.length 为 1；数量按当前源码的 for(j &lt; quantity) 实际生成规则整理。波次4以后含随机分支，不能还原成唯一固定的敌人总数。</t>
  </si>
  <si>
    <t>波次</t>
  </si>
  <si>
    <t>波次类型</t>
  </si>
  <si>
    <t>生命倍率</t>
  </si>
  <si>
    <t>Simple数量</t>
  </si>
  <si>
    <t>Simple生命</t>
  </si>
  <si>
    <t>Fast数量（出现时）</t>
  </si>
  <si>
    <t>Fast生命</t>
  </si>
  <si>
    <t>Fast速度</t>
  </si>
  <si>
    <t>Armored直出数量</t>
  </si>
  <si>
    <t>Armored生命</t>
  </si>
  <si>
    <t>Armored速度</t>
  </si>
  <si>
    <t>Split分支规则</t>
  </si>
  <si>
    <t>Split分支Healer数量</t>
  </si>
  <si>
    <t>Healer生命</t>
  </si>
  <si>
    <t>Healer速度</t>
  </si>
  <si>
    <t>Boss数量</t>
  </si>
  <si>
    <t>Boss生命</t>
  </si>
  <si>
    <t>Boss速度</t>
  </si>
  <si>
    <t>Boss波可选Healer数量</t>
  </si>
  <si>
    <t>单路敌人数量说明</t>
  </si>
  <si>
    <t>备注</t>
  </si>
  <si>
    <t>开局固定</t>
  </si>
  <si>
    <t>Simple × 10</t>
  </si>
  <si>
    <t>固定生成，无随机分支</t>
  </si>
  <si>
    <t>Simple × 11</t>
  </si>
  <si>
    <t>Simple × 12</t>
  </si>
  <si>
    <t>普通随机波</t>
  </si>
  <si>
    <t>40%：q=14，s=0..4；s&gt;0→Armored=s×ceil(q/s)、Healer=s；s=0→0敌人</t>
  </si>
  <si>
    <t>0..4</t>
  </si>
  <si>
    <t>Fast：0/3；Armored：14 或 Split</t>
  </si>
  <si>
    <t>Fast约30%；Split约40%；否则直出Armored</t>
  </si>
  <si>
    <t>40%：q=15，s=0..4；s&gt;0→Armored=s×ceil(q/s)、Healer=s；s=0→0敌人</t>
  </si>
  <si>
    <t>Fast：0/3；Armored：15 或 Split</t>
  </si>
  <si>
    <t>40%：q=16，s=0..5；s&gt;0→Armored=s×ceil(q/s)、Healer=s；s=0→0敌人</t>
  </si>
  <si>
    <t>0..5</t>
  </si>
  <si>
    <t>Fast：0/4；Armored：16 或 Split</t>
  </si>
  <si>
    <t>40%：q=17，s=0..5；s&gt;0→Armored=s×ceil(q/s)、Healer=s；s=0→0敌人</t>
  </si>
  <si>
    <t>Fast：0/4；Armored：17 或 Split</t>
  </si>
  <si>
    <t>Boss波（每8波）</t>
  </si>
  <si>
    <t>0 或 1-1</t>
  </si>
  <si>
    <t>Boss × 1；Healer：0 或 1-1</t>
  </si>
  <si>
    <t>Boss固定；Healer约40%概率出现</t>
  </si>
  <si>
    <t>40%：q=19，s=0..6；s&gt;0→Armored=s×ceil(q/s)、Healer=s；s=0→0敌人</t>
  </si>
  <si>
    <t>0..6</t>
  </si>
  <si>
    <t>Fast：0/4；Armored：19 或 Split</t>
  </si>
  <si>
    <t>40%：q=20，s=0..6；s&gt;0→Armored=s×ceil(q/s)、Healer=s；s=0→0敌人</t>
  </si>
  <si>
    <t>Fast：0/4；Armored：20 或 Split</t>
  </si>
  <si>
    <t>40%：q=21，s=0..6；s&gt;0→Armored=s×ceil(q/s)、Healer=s；s=0→0敌人</t>
  </si>
  <si>
    <t>Fast：0/5；Armored：21 或 Split</t>
  </si>
  <si>
    <t>40%：q=22，s=0..7；s&gt;0→Armored=s×ceil(q/s)、Healer=s；s=0→0敌人</t>
  </si>
  <si>
    <t>0..7</t>
  </si>
  <si>
    <t>Fast：0/5；Armored：22 或 Split</t>
  </si>
  <si>
    <t>40%：q=23，s=0..7；s&gt;0→Armored=s×ceil(q/s)、Healer=s；s=0→0敌人</t>
  </si>
  <si>
    <t>Fast：0/5；Armored：23 或 Split</t>
  </si>
  <si>
    <t>40%：q=24，s=0..7；s&gt;0→Armored=s×ceil(q/s)、Healer=s；s=0→0敌人</t>
  </si>
  <si>
    <t>Fast：0/5；Armored：24 或 Split</t>
  </si>
  <si>
    <t>40%：q=25，s=0..8；s&gt;0→Armored=s×ceil(q/s)、Healer=s；s=0→0敌人</t>
  </si>
  <si>
    <t>0..8</t>
  </si>
  <si>
    <t>Fast：0/5；Armored：25 或 Split</t>
  </si>
  <si>
    <t>0 或 1-2</t>
  </si>
  <si>
    <t>Boss × 2；Healer：0 或 1-2</t>
  </si>
  <si>
    <t>40%：q=27，s=0..8；s&gt;0→Armored=s×ceil(q/s)、Healer=s；s=0→0敌人</t>
  </si>
  <si>
    <t>Fast：0/6；Armored：27 或 Split</t>
  </si>
  <si>
    <t>40%：q=28，s=0..9；s&gt;0→Armored=s×ceil(q/s)、Healer=s；s=0→0敌人</t>
  </si>
  <si>
    <t>0..9</t>
  </si>
  <si>
    <t>Fast：0/6；Armored：28 或 Split</t>
  </si>
  <si>
    <t>40%：q=29，s=0..9；s&gt;0→Armored=s×ceil(q/s)、Healer=s；s=0→0敌人</t>
  </si>
  <si>
    <t>Fast：0/6；Armored：29 或 Split</t>
  </si>
  <si>
    <t>40%：q=30，s=0..9；s&gt;0→Armored=s×ceil(q/s)、Healer=s；s=0→0敌人</t>
  </si>
  <si>
    <t>Fast：0/6；Armored：30 或 Split</t>
  </si>
  <si>
    <t>40%：q=31，s=0..10；s&gt;0→Armored=s×ceil(q/s)、Healer=s；s=0→0敌人</t>
  </si>
  <si>
    <t>0..10</t>
  </si>
  <si>
    <t>Fast：0/7；Armored：31 或 Split</t>
  </si>
  <si>
    <t>40%：q=32，s=0..10；s&gt;0→Armored=s×ceil(q/s)、Healer=s；s=0→0敌人</t>
  </si>
  <si>
    <t>Fast：0/7；Armored：32 或 Split</t>
  </si>
  <si>
    <t>40%：q=33，s=0..10；s&gt;0→Armored=s×ceil(q/s)、Healer=s；s=0→0敌人</t>
  </si>
  <si>
    <t>Fast：0/7；Armored：33 或 Split</t>
  </si>
  <si>
    <t>0 或 1-3</t>
  </si>
  <si>
    <t>Boss × 3；Healer：0 或 1-3</t>
  </si>
  <si>
    <t>40%：q=35，s=0..11；s&gt;0→Armored=s×ceil(q/s)、Healer=s；s=0→0敌人</t>
  </si>
  <si>
    <t>0..11</t>
  </si>
  <si>
    <t>Fast：0/7；Armored：35 或 Split</t>
  </si>
  <si>
    <t>40%：q=36，s=0..11；s&gt;0→Armored=s×ceil(q/s)、Healer=s；s=0→0敌人</t>
  </si>
  <si>
    <t>Fast：0/8；Armored：36 或 Split</t>
  </si>
  <si>
    <t>40%：q=37，s=0..12；s&gt;0→Armored=s×ceil(q/s)、Healer=s；s=0→0敌人</t>
  </si>
  <si>
    <t>0..12</t>
  </si>
  <si>
    <t>Fast：0/8；Armored：37 或 Split</t>
  </si>
  <si>
    <t>40%：q=38，s=0..12；s&gt;0→Armored=s×ceil(q/s)、Healer=s；s=0→0敌人</t>
  </si>
  <si>
    <t>Fast：0/8；Armored：38 或 Split</t>
  </si>
  <si>
    <t>40%：q=39，s=0..12；s&gt;0→Armored=s×ceil(q/s)、Healer=s；s=0→0敌人</t>
  </si>
  <si>
    <t>Fast：0/8；Armored：39 或 Split</t>
  </si>
  <si>
    <t>40%：q=40，s=0..13；s&gt;0→Armored=s×ceil(q/s)、Healer=s；s=0→0敌人</t>
  </si>
  <si>
    <t>0..13</t>
  </si>
  <si>
    <t>Fast：0/8；Armored：40 或 Split</t>
  </si>
  <si>
    <t>40%：q=41，s=0..13；s&gt;0→Armored=s×ceil(q/s)、Healer=s；s=0→0敌人</t>
  </si>
  <si>
    <t>Fast：0/9；Armored：41 或 Split</t>
  </si>
  <si>
    <t>0 或 1-4</t>
  </si>
  <si>
    <t>Boss × 4；Healer：0 或 1-4</t>
  </si>
  <si>
    <t>40%：q=43，s=0..14；s&gt;0→Armored=s×ceil(q/s)、Healer=s；s=0→0敌人</t>
  </si>
  <si>
    <t>0..14</t>
  </si>
  <si>
    <t>Fast：0/9；Armored：43 或 Split</t>
  </si>
  <si>
    <t>40%：q=44，s=0..14；s&gt;0→Armored=s×ceil(q/s)、Healer=s；s=0→0敌人</t>
  </si>
  <si>
    <t>Fast：0/9；Armored：44 或 Split</t>
  </si>
  <si>
    <t>40%：q=45，s=0..14；s&gt;0→Armored=s×ceil(q/s)、Healer=s；s=0→0敌人</t>
  </si>
  <si>
    <t>Fast：0/9；Armored：45 或 Split</t>
  </si>
  <si>
    <t>40%：q=46，s=0..15；s&gt;0→Armored=s×ceil(q/s)、Healer=s；s=0→0敌人</t>
  </si>
  <si>
    <t>0..15</t>
  </si>
  <si>
    <t>Fast：0/10；Armored：46 或 Split</t>
  </si>
  <si>
    <t>40%：q=47，s=0..15；s&gt;0→Armored=s×ceil(q/s)、Healer=s；s=0→0敌人</t>
  </si>
  <si>
    <t>Fast：0/10；Armored：47 或 Split</t>
  </si>
  <si>
    <t>40%：q=48，s=0..15；s&gt;0→Armored=s×ceil(q/s)、Healer=s；s=0→0敌人</t>
  </si>
  <si>
    <t>Fast：0/10；Armored：48 或 Split</t>
  </si>
  <si>
    <t>40%：q=49，s=0..16；s&gt;0→Armored=s×ceil(q/s)、Healer=s；s=0→0敌人</t>
  </si>
  <si>
    <t>0..16</t>
  </si>
  <si>
    <t>Fast：0/10；Armored：49 或 Split</t>
  </si>
  <si>
    <t>40%：q=51，s=0..16；s&gt;0→Armored=s×ceil(q/s)、Healer=s；s=0→0敌人</t>
  </si>
  <si>
    <t>Fast：0/11；Armored：51 或 Split</t>
  </si>
  <si>
    <t>40%：q=52，s=0..17；s&gt;0→Armored=s×ceil(q/s)、Healer=s；s=0→0敌人</t>
  </si>
  <si>
    <t>0..17</t>
  </si>
  <si>
    <t>Fast：0/11；Armored：52 或 Split</t>
  </si>
  <si>
    <t>40%：q=53，s=0..17；s&gt;0→Armored=s×ceil(q/s)、Healer=s；s=0→0敌人</t>
  </si>
  <si>
    <t>Fast：0/11；Armored：53 或 Split</t>
  </si>
  <si>
    <t>40%：q=54，s=0..17；s&gt;0→Armored=s×ceil(q/s)、Healer=s；s=0→0敌人</t>
  </si>
  <si>
    <t>Fast：0/11；Armored：54 或 Split</t>
  </si>
  <si>
    <t>40%：q=55，s=0..18；s&gt;0→Armored=s×ceil(q/s)、Healer=s；s=0→0敌人</t>
  </si>
  <si>
    <t>0..18</t>
  </si>
  <si>
    <t>Fast：0/11；Armored：55 或 Split</t>
  </si>
  <si>
    <t>40%：q=56，s=0..18；s&gt;0→Armored=s×ceil(q/s)、Healer=s；s=0→0敌人</t>
  </si>
  <si>
    <t>Fast：0/12；Armored：56 或 Split</t>
  </si>
  <si>
    <t>40%：q=57，s=0..18；s&gt;0→Armored=s×ceil(q/s)、Healer=s；s=0→0敌人</t>
  </si>
  <si>
    <t>Fast：0/12；Armored：57 或 Split</t>
  </si>
  <si>
    <t>0 或 1-5</t>
  </si>
  <si>
    <t>Boss × 5；Healer：0 或 1-5</t>
  </si>
  <si>
    <t>40%：q=59，s=0..19；s&gt;0→Armored=s×ceil(q/s)、Healer=s；s=0→0敌人</t>
  </si>
  <si>
    <t>0..19</t>
  </si>
  <si>
    <t>Fast：0/12；Armored：59 或 Split</t>
  </si>
  <si>
    <t>40%：q=60，s=0..19；s&gt;0→Armored=s×ceil(q/s)、Healer=s；s=0→0敌人</t>
  </si>
  <si>
    <t>Fast：0/12；Armored：60 或 Split</t>
  </si>
  <si>
    <t>40%：q=61，s=0..20；s&gt;0→Armored=s×ceil(q/s)、Healer=s；s=0→0敌人</t>
  </si>
  <si>
    <t>0..20</t>
  </si>
  <si>
    <t>Fast：0/13；Armored：61 或 Split</t>
  </si>
  <si>
    <t>40%：q=62，s=0..20；s&gt;0→Armored=s×ceil(q/s)、Healer=s；s=0→0敌人</t>
  </si>
  <si>
    <t>Fast：0/13；Armored：62 或 Split</t>
  </si>
  <si>
    <t>40%：q=63，s=0..20；s&gt;0→Armored=s×ceil(q/s)、Healer=s；s=0→0敌人</t>
  </si>
  <si>
    <t>Fast：0/13；Armored：63 或 Split</t>
  </si>
  <si>
    <t>40%：q=64，s=0..21；s&gt;0→Armored=s×ceil(q/s)、Healer=s；s=0→0敌人</t>
  </si>
  <si>
    <t>0..21</t>
  </si>
  <si>
    <t>Fast：0/13；Armored：64 或 Split</t>
  </si>
  <si>
    <t>40%：q=65，s=0..21；s&gt;0→Armored=s×ceil(q/s)、Healer=s；s=0→0敌人</t>
  </si>
  <si>
    <t>Fast：0/13；Armored：65 或 Split</t>
  </si>
  <si>
    <t>0 或 1-6</t>
  </si>
  <si>
    <t>Boss × 6；Healer：0 或 1-6</t>
  </si>
  <si>
    <t>40%：q=67，s=0..22；s&gt;0→Armored=s×ceil(q/s)、Healer=s；s=0→0敌人</t>
  </si>
  <si>
    <t>0..22</t>
  </si>
  <si>
    <t>Fast：0/14；Armored：67 或 Split</t>
  </si>
  <si>
    <t>40%：q=68，s=0..22；s&gt;0→Armored=s×ceil(q/s)、Healer=s；s=0→0敌人</t>
  </si>
  <si>
    <t>Fast：0/14；Armored：68 或 Split</t>
  </si>
  <si>
    <t>40%：q=69，s=0..22；s&gt;0→Armored=s×ceil(q/s)、Healer=s；s=0→0敌人</t>
  </si>
  <si>
    <t>Fast：0/14；Armored：69 或 Split</t>
  </si>
  <si>
    <t>40%：q=70，s=0..23；s&gt;0→Armored=s×ceil(q/s)、Healer=s；s=0→0敌人</t>
  </si>
  <si>
    <t>0..23</t>
  </si>
  <si>
    <t>Fast：0/14；Armored：70 或 Split</t>
  </si>
  <si>
    <t>40%：q=71，s=0..23；s&gt;0→Armored=s×ceil(q/s)、Healer=s；s=0→0敌人</t>
  </si>
  <si>
    <t>Fast：0/15；Armored：71 或 Split</t>
  </si>
  <si>
    <t>40%：q=72，s=0..23；s&gt;0→Armored=s×ceil(q/s)、Healer=s；s=0→0敌人</t>
  </si>
  <si>
    <t>Fast：0/15；Armored：72 或 Split</t>
  </si>
  <si>
    <t>40%：q=73，s=0..24；s&gt;0→Armored=s×ceil(q/s)、Healer=s；s=0→0敌人</t>
  </si>
  <si>
    <t>0..24</t>
  </si>
  <si>
    <t>Fast：0/15；Armored：73 或 Split</t>
  </si>
  <si>
    <t>0 或 1-7</t>
  </si>
  <si>
    <t>Boss × 7；Healer：0 或 1-7</t>
  </si>
  <si>
    <t>40%：q=75，s=0..24；s&gt;0→Armored=s×ceil(q/s)、Healer=s；s=0→0敌人</t>
  </si>
  <si>
    <t>Fast：0/15；Armored：75 或 Split</t>
  </si>
  <si>
    <t>40%：q=76，s=0..25；s&gt;0→Armored=s×ceil(q/s)、Healer=s；s=0→0敌人</t>
  </si>
  <si>
    <t>0..25</t>
  </si>
  <si>
    <t>Fast：0/16；Armored：76 或 Split</t>
  </si>
  <si>
    <t>40%：q=77，s=0..25；s&gt;0→Armored=s×ceil(q/s)、Healer=s；s=0→0敌人</t>
  </si>
  <si>
    <t>Fast：0/16；Armored：77 或 Split</t>
  </si>
  <si>
    <t>40%：q=78，s=0..25；s&gt;0→Armored=s×ceil(q/s)、Healer=s；s=0→0敌人</t>
  </si>
  <si>
    <t>Fast：0/16；Armored：78 或 Split</t>
  </si>
  <si>
    <t>40%：q=79，s=0..26；s&gt;0→Armored=s×ceil(q/s)、Healer=s；s=0→0敌人</t>
  </si>
  <si>
    <t>0..26</t>
  </si>
  <si>
    <t>Fast：0/16；Armored：79 或 Split</t>
  </si>
  <si>
    <t>40%：q=80，s=0..26；s&gt;0→Armored=s×ceil(q/s)、Healer=s；s=0→0敌人</t>
  </si>
  <si>
    <t>Fast：0/16；Armored：80 或 Split</t>
  </si>
  <si>
    <t>40%：q=81，s=0..26；s&gt;0→Armored=s×ceil(q/s)、Healer=s；s=0→0敌人</t>
  </si>
  <si>
    <t>Fast：0/17；Armored：81 或 Split</t>
  </si>
  <si>
    <t>0 或 1-8</t>
  </si>
  <si>
    <t>Boss × 8；Healer：0 或 1-8</t>
  </si>
  <si>
    <t>40%：q=83，s=0..27；s&gt;0→Armored=s×ceil(q/s)、Healer=s；s=0→0敌人</t>
  </si>
  <si>
    <t>0..27</t>
  </si>
  <si>
    <t>Fast：0/17；Armored：83 或 Split</t>
  </si>
  <si>
    <t>40%：q=84，s=0..27；s&gt;0→Armored=s×ceil(q/s)、Healer=s；s=0→0敌人</t>
  </si>
  <si>
    <t>Fast：0/17；Armored：84 或 Split</t>
  </si>
  <si>
    <t>40%：q=85，s=0..28；s&gt;0→Armored=s×ceil(q/s)、Healer=s；s=0→0敌人</t>
  </si>
  <si>
    <t>0..28</t>
  </si>
  <si>
    <t>Fast：0/17；Armored：85 或 Split</t>
  </si>
  <si>
    <t>40%：q=86，s=0..28；s&gt;0→Armored=s×ceil(q/s)、Healer=s；s=0→0敌人</t>
  </si>
  <si>
    <t>Fast：0/18；Armored：86 或 Split</t>
  </si>
  <si>
    <t>40%：q=87，s=0..28；s&gt;0→Armored=s×ceil(q/s)、Healer=s；s=0→0敌人</t>
  </si>
  <si>
    <t>Fast：0/18；Armored：87 或 Split</t>
  </si>
  <si>
    <t>40%：q=88，s=0..29；s&gt;0→Armored=s×ceil(q/s)、Healer=s；s=0→0敌人</t>
  </si>
  <si>
    <t>0..29</t>
  </si>
  <si>
    <t>Fast：0/18；Armored：88 或 Split</t>
  </si>
  <si>
    <t>40%：q=89，s=0..29；s&gt;0→Armored=s×ceil(q/s)、Healer=s；s=0→0敌人</t>
  </si>
  <si>
    <t>Fast：0/18；Armored：89 或 Split</t>
  </si>
  <si>
    <t>40%：q=91，s=0..30；s&gt;0→Armored=s×ceil(q/s)、Healer=s；s=0→0敌人</t>
  </si>
  <si>
    <t>0..30</t>
  </si>
  <si>
    <t>Fast：0/19；Armored：91 或 Split</t>
  </si>
  <si>
    <t>40%：q=92，s=0..30；s&gt;0→Armored=s×ceil(q/s)、Healer=s；s=0→0敌人</t>
  </si>
  <si>
    <t>Fast：0/19；Armored：92 或 Split</t>
  </si>
  <si>
    <t>40%：q=93，s=0..30；s&gt;0→Armored=s×ceil(q/s)、Healer=s；s=0→0敌人</t>
  </si>
  <si>
    <t>Fast：0/19；Armored：93 或 Split</t>
  </si>
  <si>
    <t>40%：q=94，s=0..31；s&gt;0→Armored=s×ceil(q/s)、Healer=s；s=0→0敌人</t>
  </si>
  <si>
    <t>0..31</t>
  </si>
  <si>
    <t>Fast：0/19；Armored：94 或 Split</t>
  </si>
  <si>
    <t>40%：q=95，s=0..31；s&gt;0→Armored=s×ceil(q/s)、Healer=s；s=0→0敌人</t>
  </si>
  <si>
    <t>Fast：0/19；Armored：95 或 Split</t>
  </si>
  <si>
    <t>40%：q=96，s=0..31；s&gt;0→Armored=s×ceil(q/s)、Healer=s；s=0→0敌人</t>
  </si>
  <si>
    <t>Fast：0/20；Armored：96 或 Split</t>
  </si>
  <si>
    <t>40%：q=97，s=0..32；s&gt;0→Armored=s×ceil(q/s)、Healer=s；s=0→0敌人</t>
  </si>
  <si>
    <t>0..32</t>
  </si>
  <si>
    <t>Fast：0/20；Armored：97 或 Split</t>
  </si>
  <si>
    <t>0 或 1-9</t>
  </si>
  <si>
    <t>Boss × 9；Healer：0 或 1-9</t>
  </si>
  <si>
    <t>40%：q=99，s=0..32；s&gt;0→Armored=s×ceil(q/s)、Healer=s；s=0→0敌人</t>
  </si>
  <si>
    <t>Fast：0/20；Armored：99 或 Split</t>
  </si>
  <si>
    <t>40%：q=100，s=0..33；s&gt;0→Armored=s×ceil(q/s)、Healer=s；s=0→0敌人</t>
  </si>
  <si>
    <t>0..33</t>
  </si>
  <si>
    <t>Fast：0/20；Armored：100 或 Split</t>
  </si>
  <si>
    <t>40%：q=101，s=0..33；s&gt;0→Armored=s×ceil(q/s)、Healer=s；s=0→0敌人</t>
  </si>
  <si>
    <t>Fast：0/21；Armored：101 或 Split</t>
  </si>
  <si>
    <t>40%：q=102，s=0..33；s&gt;0→Armored=s×ceil(q/s)、Healer=s；s=0→0敌人</t>
  </si>
  <si>
    <t>Fast：0/21；Armored：102 或 Split</t>
  </si>
  <si>
    <t>40%：q=103，s=0..34；s&gt;0→Armored=s×ceil(q/s)、Healer=s；s=0→0敌人</t>
  </si>
  <si>
    <t>0..34</t>
  </si>
  <si>
    <t>Fast：0/21；Armored：103 或 Split</t>
  </si>
  <si>
    <t>40%：q=104，s=0..34；s&gt;0→Armored=s×ceil(q/s)、Healer=s；s=0→0敌人</t>
  </si>
  <si>
    <t>Fast：0/21；Armored：104 或 Split</t>
  </si>
  <si>
    <t>40%：q=105，s=0..34；s&gt;0→Armored=s×ceil(q/s)、Healer=s；s=0→0敌人</t>
  </si>
  <si>
    <t>Fast：0/21；Armored：105 或 Split</t>
  </si>
  <si>
    <t>0 或 1-10</t>
  </si>
  <si>
    <t>Boss × 10；Healer：0 或 1-10</t>
  </si>
  <si>
    <t>40%：q=107，s=0..35；s&gt;0→Armored=s×ceil(q/s)、Healer=s；s=0→0敌人</t>
  </si>
  <si>
    <t>0..35</t>
  </si>
  <si>
    <t>Fast：0/22；Armored：107 或 Split</t>
  </si>
  <si>
    <t>40%：q=108，s=0..35；s&gt;0→Armored=s×ceil(q/s)、Healer=s；s=0→0敌人</t>
  </si>
  <si>
    <t>Fast：0/22；Armored：108 或 Split</t>
  </si>
  <si>
    <t>40%：q=109，s=0..36；s&gt;0→Armored=s×ceil(q/s)、Healer=s；s=0→0敌人</t>
  </si>
  <si>
    <t>0..36</t>
  </si>
  <si>
    <t>Fast：0/22；Armored：109 或 Split</t>
  </si>
  <si>
    <t>40%：q=110，s=0..36；s&gt;0→Armored=s×ceil(q/s)、Healer=s；s=0→0敌人</t>
  </si>
  <si>
    <t>Fast：0/22；Armored：110 或 Split</t>
  </si>
  <si>
    <t>40%：q=111，s=0..36；s&gt;0→Armored=s×ceil(q/s)、Healer=s；s=0→0敌人</t>
  </si>
  <si>
    <t>Fast：0/23；Armored：111 或 Split</t>
  </si>
  <si>
    <t>40%：q=112，s=0..37；s&gt;0→Armored=s×ceil(q/s)、Healer=s；s=0→0敌人</t>
  </si>
  <si>
    <t>0..37</t>
  </si>
  <si>
    <t>Fast：0/23；Armored：112 或 Split</t>
  </si>
  <si>
    <t>40%：q=113，s=0..37；s&gt;0→Armored=s×ceil(q/s)、Healer=s；s=0→0敌人</t>
  </si>
  <si>
    <t>Fast：0/23；Armored：113 或 Split</t>
  </si>
  <si>
    <t>0 或 1-11</t>
  </si>
  <si>
    <t>Boss × 11；Healer：0 或 1-11</t>
  </si>
  <si>
    <t>40%：q=115，s=0..38；s&gt;0→Armored=s×ceil(q/s)、Healer=s；s=0→0敌人</t>
  </si>
  <si>
    <t>0..38</t>
  </si>
  <si>
    <t>Fast：0/23；Armored：115 或 Split</t>
  </si>
  <si>
    <t>40%：q=116，s=0..38；s&gt;0→Armored=s×ceil(q/s)、Healer=s；s=0→0敌人</t>
  </si>
  <si>
    <t>Fast：0/24；Armored：116 或 Split</t>
  </si>
  <si>
    <t>40%：q=117，s=0..38；s&gt;0→Armored=s×ceil(q/s)、Healer=s；s=0→0敌人</t>
  </si>
  <si>
    <t>Fast：0/24；Armored：117 或 Split</t>
  </si>
  <si>
    <t>40%：q=118，s=0..39；s&gt;0→Armored=s×ceil(q/s)、Healer=s；s=0→0敌人</t>
  </si>
  <si>
    <t>0..39</t>
  </si>
  <si>
    <t>Fast：0/24；Armored：118 或 Split</t>
  </si>
  <si>
    <t>40%：q=119，s=0..39；s&gt;0→Armored=s×ceil(q/s)、Healer=s；s=0→0敌人</t>
  </si>
  <si>
    <t>Fast：0/24；Armored：119 或 Split</t>
  </si>
  <si>
    <t>40%：q=120，s=0..39；s&gt;0→Armored=s×ceil(q/s)、Healer=s；s=0→0敌人</t>
  </si>
  <si>
    <t>Fast：0/24；Armored：120 或 Split</t>
  </si>
  <si>
    <t>40%：q=121，s=0..40；s&gt;0→Armored=s×ceil(q/s)、Healer=s；s=0→0敌人</t>
  </si>
  <si>
    <t>0..40</t>
  </si>
  <si>
    <t>Fast：0/25；Armored：121 或 Split</t>
  </si>
  <si>
    <t>0 或 1-12</t>
  </si>
  <si>
    <t>Boss × 12；Healer：0 或 1-12</t>
  </si>
  <si>
    <t>40%：q=123，s=0..40；s&gt;0→Armored=s×ceil(q/s)、Healer=s；s=0→0敌人</t>
  </si>
  <si>
    <t>Fast：0/25；Armored：123 或 Split</t>
  </si>
  <si>
    <t>40%：q=124，s=0..41；s&gt;0→Armored=s×ceil(q/s)、Healer=s；s=0→0敌人</t>
  </si>
  <si>
    <t>0..41</t>
  </si>
  <si>
    <t>Fast：0/25；Armored：124 或 Split</t>
  </si>
  <si>
    <t>40%：q=125，s=0..41；s&gt;0→Armored=s×ceil(q/s)、Healer=s；s=0→0敌人</t>
  </si>
  <si>
    <t>Fast：0/25；Armored：125 或 Split</t>
  </si>
  <si>
    <t>40%：q=126，s=0..41；s&gt;0→Armored=s×ceil(q/s)、Healer=s；s=0→0敌人</t>
  </si>
  <si>
    <t>Fast：0/26；Armored：126 或 Split</t>
  </si>
  <si>
    <t>40%：q=127，s=0..42；s&gt;0→Armored=s×ceil(q/s)、Healer=s；s=0→0敌人</t>
  </si>
  <si>
    <t>0..42</t>
  </si>
  <si>
    <t>Fast：0/26；Armored：127 或 Split</t>
  </si>
  <si>
    <t>40%：q=128，s=0..42；s&gt;0→Armored=s×ceil(q/s)、Healer=s；s=0→0敌人</t>
  </si>
  <si>
    <t>Fast：0/26；Armored：128 或 Split</t>
  </si>
  <si>
    <t>40%：q=129，s=0..42；s&gt;0→Armored=s×ceil(q/s)、Healer=s；s=0→0敌人</t>
  </si>
  <si>
    <t>Fast：0/26；Armored：129 或 Split</t>
  </si>
  <si>
    <t>40%：q=131，s=0..43；s&gt;0→Armored=s×ceil(q/s)、Healer=s；s=0→0敌人</t>
  </si>
  <si>
    <t>0..43</t>
  </si>
  <si>
    <t>Fast：0/27；Armored：131 或 Split</t>
  </si>
  <si>
    <t>40%：q=132，s=0..43；s&gt;0→Armored=s×ceil(q/s)、Healer=s；s=0→0敌人</t>
  </si>
  <si>
    <t>Fast：0/27；Armored：132 或 Split</t>
  </si>
  <si>
    <t>40%：q=133，s=0..44；s&gt;0→Armored=s×ceil(q/s)、Healer=s；s=0→0敌人</t>
  </si>
  <si>
    <t>0..44</t>
  </si>
  <si>
    <t>Fast：0/27；Armored：133 或 Split</t>
  </si>
  <si>
    <t>40%：q=134，s=0..44；s&gt;0→Armored=s×ceil(q/s)、Healer=s；s=0→0敌人</t>
  </si>
  <si>
    <t>Fast：0/27；Armored：134 或 Split</t>
  </si>
  <si>
    <t>40%：q=135，s=0..44；s&gt;0→Armored=s×ceil(q/s)、Healer=s；s=0→0敌人</t>
  </si>
  <si>
    <t>Fast：0/27；Armored：135 或 Split</t>
  </si>
  <si>
    <t>40%：q=136，s=0..45；s&gt;0→Armored=s×ceil(q/s)、Healer=s；s=0→0敌人</t>
  </si>
  <si>
    <t>0..45</t>
  </si>
  <si>
    <t>Fast：0/28；Armored：136 或 Split</t>
  </si>
  <si>
    <t>40%：q=137，s=0..45；s&gt;0→Armored=s×ceil(q/s)、Healer=s；s=0→0敌人</t>
  </si>
  <si>
    <t>Fast：0/28；Armored：137 或 Split</t>
  </si>
  <si>
    <t>0 或 1-13</t>
  </si>
  <si>
    <t>Boss × 13；Healer：0 或 1-13</t>
  </si>
  <si>
    <t>40%：q=139，s=0..46；s&gt;0→Armored=s×ceil(q/s)、Healer=s；s=0→0敌人</t>
  </si>
  <si>
    <t>0..46</t>
  </si>
  <si>
    <t>Fast：0/28；Armored：139 或 Split</t>
  </si>
  <si>
    <t>40%：q=140，s=0..46；s&gt;0→Armored=s×ceil(q/s)、Healer=s；s=0→0敌人</t>
  </si>
  <si>
    <t>Fast：0/28；Armored：140 或 Split</t>
  </si>
  <si>
    <t>40%：q=141，s=0..46；s&gt;0→Armored=s×ceil(q/s)、Healer=s；s=0→0敌人</t>
  </si>
  <si>
    <t>Fast：0/29；Armored：141 或 Split</t>
  </si>
  <si>
    <t>40%：q=142，s=0..47；s&gt;0→Armored=s×ceil(q/s)、Healer=s；s=0→0敌人</t>
  </si>
  <si>
    <t>0..47</t>
  </si>
  <si>
    <t>Fast：0/29；Armored：142 或 Split</t>
  </si>
  <si>
    <t>40%：q=143，s=0..47；s&gt;0→Armored=s×ceil(q/s)、Healer=s；s=0→0敌人</t>
  </si>
  <si>
    <t>Fast：0/29；Armored：143 或 Split</t>
  </si>
  <si>
    <t>40%：q=144，s=0..47；s&gt;0→Armored=s×ceil(q/s)、Healer=s；s=0→0敌人</t>
  </si>
  <si>
    <t>Fast：0/29；Armored：144 或 Split</t>
  </si>
  <si>
    <t>40%：q=145，s=0..48；s&gt;0→Armored=s×ceil(q/s)、Healer=s；s=0→0敌人</t>
  </si>
  <si>
    <t>0..48</t>
  </si>
  <si>
    <t>Fast：0/29；Armored：145 或 Split</t>
  </si>
  <si>
    <t>0 或 1-14</t>
  </si>
  <si>
    <t>Boss × 14；Healer：0 或 1-14</t>
  </si>
  <si>
    <t>40%：q=147，s=0..48；s&gt;0→Armored=s×ceil(q/s)、Healer=s；s=0→0敌人</t>
  </si>
  <si>
    <t>Fast：0/30；Armored：147 或 Split</t>
  </si>
  <si>
    <t>40%：q=148，s=0..49；s&gt;0→Armored=s×ceil(q/s)、Healer=s；s=0→0敌人</t>
  </si>
  <si>
    <t>0..49</t>
  </si>
  <si>
    <t>Fast：0/30；Armored：148 或 Split</t>
  </si>
  <si>
    <t>40%：q=149，s=0..49；s&gt;0→Armored=s×ceil(q/s)、Healer=s；s=0→0敌人</t>
  </si>
  <si>
    <t>Fast：0/30；Armored：149 或 Split</t>
  </si>
  <si>
    <t>40%：q=150，s=0..49；s&gt;0→Armored=s×ceil(q/s)、Healer=s；s=0→0敌人</t>
  </si>
  <si>
    <t>Fast：0/30；Armored：150 或 Split</t>
  </si>
  <si>
    <t>40%：q=151，s=0..50；s&gt;0→Armored=s×ceil(q/s)、Healer=s；s=0→0敌人</t>
  </si>
  <si>
    <t>0..50</t>
  </si>
  <si>
    <t>Fast：0/31；Armored：151 或 Split</t>
  </si>
  <si>
    <t>40%：q=152，s=0..50；s&gt;0→Armored=s×ceil(q/s)、Healer=s；s=0→0敌人</t>
  </si>
  <si>
    <t>Fast：0/31；Armored：152 或 Split</t>
  </si>
  <si>
    <t>40%：q=153，s=0..50；s&gt;0→Armored=s×ceil(q/s)、Healer=s；s=0→0敌人</t>
  </si>
  <si>
    <t>Fast：0/31；Armored：153 或 Split</t>
  </si>
  <si>
    <t>0 或 1-15</t>
  </si>
  <si>
    <t>Boss × 15；Healer：0 或 1-15</t>
  </si>
  <si>
    <t>40%：q=155，s=0..51；s&gt;0→Armored=s×ceil(q/s)、Healer=s；s=0→0敌人</t>
  </si>
  <si>
    <t>0..51</t>
  </si>
  <si>
    <t>Fast：0/31；Armored：155 或 Split</t>
  </si>
  <si>
    <t>40%：q=156，s=0..51；s&gt;0→Armored=s×ceil(q/s)、Healer=s；s=0→0敌人</t>
  </si>
  <si>
    <t>Fast：0/32；Armored：156 或 Split</t>
  </si>
  <si>
    <t>40%：q=157，s=0..52；s&gt;0→Armored=s×ceil(q/s)、Healer=s；s=0→0敌人</t>
  </si>
  <si>
    <t>0..52</t>
  </si>
  <si>
    <t>Fast：0/32；Armored：157 或 Split</t>
  </si>
  <si>
    <t>40%：q=158，s=0..52；s&gt;0→Armored=s×ceil(q/s)、Healer=s；s=0→0敌人</t>
  </si>
  <si>
    <t>Fast：0/32；Armored：158 或 Split</t>
  </si>
  <si>
    <t>40%：q=159，s=0..52；s&gt;0→Armored=s×ceil(q/s)、Healer=s；s=0→0敌人</t>
  </si>
  <si>
    <t>Fast：0/32；Armored：159 或 Split</t>
  </si>
  <si>
    <t>40%：q=160，s=0..53；s&gt;0→Armored=s×ceil(q/s)、Healer=s；s=0→0敌人</t>
  </si>
  <si>
    <t>0..53</t>
  </si>
  <si>
    <t>Fast：0/32；Armored：160 或 Split</t>
  </si>
  <si>
    <t>40%：q=161，s=0..53；s&gt;0→Armored=s×ceil(q/s)、Healer=s；s=0→0敌人</t>
  </si>
  <si>
    <t>Fast：0/33；Armored：161 或 Split</t>
  </si>
  <si>
    <t>0 或 1-16</t>
  </si>
  <si>
    <t>Boss × 16；Healer：0 或 1-16</t>
  </si>
  <si>
    <t>40%：q=163，s=0..54；s&gt;0→Armored=s×ceil(q/s)、Healer=s；s=0→0敌人</t>
  </si>
  <si>
    <t>0..54</t>
  </si>
  <si>
    <t>Fast：0/33；Armored：163 或 Split</t>
  </si>
  <si>
    <t>40%：q=164，s=0..54；s&gt;0→Armored=s×ceil(q/s)、Healer=s；s=0→0敌人</t>
  </si>
  <si>
    <t>Fast：0/33；Armored：164 或 Split</t>
  </si>
  <si>
    <t>40%：q=165，s=0..54；s&gt;0→Armored=s×ceil(q/s)、Healer=s；s=0→0敌人</t>
  </si>
  <si>
    <t>Fast：0/33；Armored：165 或 Split</t>
  </si>
  <si>
    <t>40%：q=166，s=0..55；s&gt;0→Armored=s×ceil(q/s)、Healer=s；s=0→0敌人</t>
  </si>
  <si>
    <t>0..55</t>
  </si>
  <si>
    <t>Fast：0/34；Armored：166 或 Split</t>
  </si>
  <si>
    <t>40%：q=167，s=0..55；s&gt;0→Armored=s×ceil(q/s)、Healer=s；s=0→0敌人</t>
  </si>
  <si>
    <t>Fast：0/34；Armored：167 或 Split</t>
  </si>
  <si>
    <t>40%：q=168，s=0..55；s&gt;0→Armored=s×ceil(q/s)、Healer=s；s=0→0敌人</t>
  </si>
  <si>
    <t>Fast：0/34；Armored：168 或 Split</t>
  </si>
  <si>
    <t>40%：q=169，s=0..56；s&gt;0→Armored=s×ceil(q/s)、Healer=s；s=0→0敌人</t>
  </si>
  <si>
    <t>0..56</t>
  </si>
  <si>
    <t>Fast：0/34；Armored：169 或 Split</t>
  </si>
  <si>
    <t>40%：q=171，s=0..56；s&gt;0→Armored=s×ceil(q/s)、Healer=s；s=0→0敌人</t>
  </si>
  <si>
    <t>Fast：0/35；Armored：171 或 Split</t>
  </si>
  <si>
    <t>40%：q=172，s=0..57；s&gt;0→Armored=s×ceil(q/s)、Healer=s；s=0→0敌人</t>
  </si>
  <si>
    <t>0..57</t>
  </si>
  <si>
    <t>Fast：0/35；Armored：172 或 Split</t>
  </si>
  <si>
    <t>40%：q=173，s=0..57；s&gt;0→Armored=s×ceil(q/s)、Healer=s；s=0→0敌人</t>
  </si>
  <si>
    <t>Fast：0/35；Armored：173 或 Split</t>
  </si>
  <si>
    <t>40%：q=174，s=0..57；s&gt;0→Armored=s×ceil(q/s)、Healer=s；s=0→0敌人</t>
  </si>
  <si>
    <t>Fast：0/35；Armored：174 或 Split</t>
  </si>
  <si>
    <t>40%：q=175，s=0..58；s&gt;0→Armored=s×ceil(q/s)、Healer=s；s=0→0敌人</t>
  </si>
  <si>
    <t>0..58</t>
  </si>
  <si>
    <t>Fast：0/35；Armored：175 或 Split</t>
  </si>
  <si>
    <t>40%：q=176，s=0..58；s&gt;0→Armored=s×ceil(q/s)、Healer=s；s=0→0敌人</t>
  </si>
  <si>
    <t>Fast：0/36；Armored：176 或 Split</t>
  </si>
  <si>
    <t>40%：q=177，s=0..58；s&gt;0→Armored=s×ceil(q/s)、Healer=s；s=0→0敌人</t>
  </si>
  <si>
    <t>Fast：0/36；Armored：177 或 Split</t>
  </si>
  <si>
    <t>0 或 1-17</t>
  </si>
  <si>
    <t>Boss × 17；Healer：0 或 1-17</t>
  </si>
  <si>
    <t>40%：q=179，s=0..59；s&gt;0→Armored=s×ceil(q/s)、Healer=s；s=0→0敌人</t>
  </si>
  <si>
    <t>0..59</t>
  </si>
  <si>
    <t>Fast：0/36；Armored：179 或 Split</t>
  </si>
  <si>
    <t>40%：q=180，s=0..59；s&gt;0→Armored=s×ceil(q/s)、Healer=s；s=0→0敌人</t>
  </si>
  <si>
    <t>Fast：0/36；Armored：180 或 Split</t>
  </si>
  <si>
    <t>40%：q=181，s=0..60；s&gt;0→Armored=s×ceil(q/s)、Healer=s；s=0→0敌人</t>
  </si>
  <si>
    <t>0..60</t>
  </si>
  <si>
    <t>Fast：0/37；Armored：181 或 Split</t>
  </si>
  <si>
    <t>40%：q=182，s=0..60；s&gt;0→Armored=s×ceil(q/s)、Healer=s；s=0→0敌人</t>
  </si>
  <si>
    <t>Fast：0/37；Armored：182 或 Split</t>
  </si>
  <si>
    <t>40%：q=183，s=0..60；s&gt;0→Armored=s×ceil(q/s)、Healer=s；s=0→0敌人</t>
  </si>
  <si>
    <t>Fast：0/37；Armored：183 或 Split</t>
  </si>
  <si>
    <t>40%：q=184，s=0..61；s&gt;0→Armored=s×ceil(q/s)、Healer=s；s=0→0敌人</t>
  </si>
  <si>
    <t>0..61</t>
  </si>
  <si>
    <t>Fast：0/37；Armored：184 或 Split</t>
  </si>
  <si>
    <t>40%：q=185，s=0..61；s&gt;0→Armored=s×ceil(q/s)、Healer=s；s=0→0敌人</t>
  </si>
  <si>
    <t>Fast：0/37；Armored：185 或 Split</t>
  </si>
  <si>
    <t>0 或 1-18</t>
  </si>
  <si>
    <t>Boss × 18；Healer：0 或 1-18</t>
  </si>
  <si>
    <t>40%：q=187，s=0..62；s&gt;0→Armored=s×ceil(q/s)、Healer=s；s=0→0敌人</t>
  </si>
  <si>
    <t>0..62</t>
  </si>
  <si>
    <t>Fast：0/38；Armored：187 或 Split</t>
  </si>
  <si>
    <t>40%：q=188，s=0..62；s&gt;0→Armored=s×ceil(q/s)、Healer=s；s=0→0敌人</t>
  </si>
  <si>
    <t>Fast：0/38；Armored：188 或 Split</t>
  </si>
  <si>
    <t>40%：q=189，s=0..62；s&gt;0→Armored=s×ceil(q/s)、Healer=s；s=0→0敌人</t>
  </si>
  <si>
    <t>Fast：0/38；Armored：189 或 Split</t>
  </si>
  <si>
    <t>40%：q=190，s=0..63；s&gt;0→Armored=s×ceil(q/s)、Healer=s；s=0→0敌人</t>
  </si>
  <si>
    <t>0..63</t>
  </si>
  <si>
    <t>Fast：0/38；Armored：190 或 Split</t>
  </si>
  <si>
    <t>40%：q=191，s=0..63；s&gt;0→Armored=s×ceil(q/s)、Healer=s；s=0→0敌人</t>
  </si>
  <si>
    <t>Fast：0/39；Armored：191 或 Split</t>
  </si>
  <si>
    <t>40%：q=192，s=0..63；s&gt;0→Armored=s×ceil(q/s)、Healer=s；s=0→0敌人</t>
  </si>
  <si>
    <t>Fast：0/39；Armored：192 或 Split</t>
  </si>
  <si>
    <t>40%：q=193，s=0..64；s&gt;0→Armored=s×ceil(q/s)、Healer=s；s=0→0敌人</t>
  </si>
  <si>
    <t>0..64</t>
  </si>
  <si>
    <t>Fast：0/39；Armored：193 或 Split</t>
  </si>
  <si>
    <t>0 或 1-19</t>
  </si>
  <si>
    <t>Boss × 19；Healer：0 或 1-19</t>
  </si>
  <si>
    <t>40%：q=195，s=0..64；s&gt;0→Armored=s×ceil(q/s)、Healer=s；s=0→0敌人</t>
  </si>
  <si>
    <t>Fast：0/39；Armored：195 或 Split</t>
  </si>
  <si>
    <t>40%：q=196，s=0..65；s&gt;0→Armored=s×ceil(q/s)、Healer=s；s=0→0敌人</t>
  </si>
  <si>
    <t>0..65</t>
  </si>
  <si>
    <t>Fast：0/40；Armored：196 或 Split</t>
  </si>
  <si>
    <t>40%：q=197，s=0..65；s&gt;0→Armored=s×ceil(q/s)、Healer=s；s=0→0敌人</t>
  </si>
  <si>
    <t>Fast：0/40；Armored：197 或 Split</t>
  </si>
  <si>
    <t>40%：q=198，s=0..65；s&gt;0→Armored=s×ceil(q/s)、Healer=s；s=0→0敌人</t>
  </si>
  <si>
    <t>Fast：0/40；Armored：198 或 Split</t>
  </si>
  <si>
    <t>40%：q=199，s=0..66；s&gt;0→Armored=s×ceil(q/s)、Healer=s；s=0→0敌人</t>
  </si>
  <si>
    <t>0..66</t>
  </si>
  <si>
    <t>Fast：0/40；Armored：199 或 Split</t>
  </si>
  <si>
    <t>40%：q=200，s=0..66；s&gt;0→Armored=s×ceil(q/s)、Healer=s；s=0→0敌人</t>
  </si>
  <si>
    <t>Fast：0/40；Armored：200 或 Split</t>
  </si>
  <si>
    <t>40%：q=201，s=0..66；s&gt;0→Armored=s×ceil(q/s)、Healer=s；s=0→0敌人</t>
  </si>
  <si>
    <t>Fast：0/41；Armored：201 或 Split</t>
  </si>
  <si>
    <t>0 或 1-20</t>
  </si>
  <si>
    <t>Boss × 20；Healer：0 或 1-20</t>
  </si>
  <si>
    <t>40%：q=203，s=0..67；s&gt;0→Armored=s×ceil(q/s)、Healer=s；s=0→0敌人</t>
  </si>
  <si>
    <t>0..67</t>
  </si>
  <si>
    <t>Fast：0/41；Armored：203 或 Split</t>
  </si>
  <si>
    <t>40%：q=204，s=0..67；s&gt;0→Armored=s×ceil(q/s)、Healer=s；s=0→0敌人</t>
  </si>
  <si>
    <t>Fast：0/41；Armored：204 或 Split</t>
  </si>
  <si>
    <t>40%：q=205，s=0..68；s&gt;0→Armored=s×ceil(q/s)、Healer=s；s=0→0敌人</t>
  </si>
  <si>
    <t>0..68</t>
  </si>
  <si>
    <t>Fast：0/41；Armored：205 或 Split</t>
  </si>
  <si>
    <t>40%：q=206，s=0..68；s&gt;0→Armored=s×ceil(q/s)、Healer=s；s=0→0敌人</t>
  </si>
  <si>
    <t>Fast：0/42；Armored：206 或 Split</t>
  </si>
  <si>
    <t>40%：q=207，s=0..68；s&gt;0→Armored=s×ceil(q/s)、Healer=s；s=0→0敌人</t>
  </si>
  <si>
    <t>Fast：0/42；Armored：207 或 Split</t>
  </si>
  <si>
    <t>40%：q=208，s=0..69；s&gt;0→Armored=s×ceil(q/s)、Healer=s；s=0→0敌人</t>
  </si>
  <si>
    <t>0..69</t>
  </si>
  <si>
    <t>Fast：0/42；Armored：208 或 Split</t>
  </si>
  <si>
    <t>40%：q=209，s=0..69；s&gt;0→Armored=s×ceil(q/s)、Healer=s；s=0→0敌人</t>
  </si>
  <si>
    <t>Fast：0/42；Armored：209 或 Split</t>
  </si>
  <si>
    <t>敌人基础数值</t>
  </si>
  <si>
    <t>生命值会按波次倍率增长；伤害、金币奖励和半径不随波次增长。</t>
  </si>
  <si>
    <t>源码类型</t>
  </si>
  <si>
    <t>中文名称</t>
  </si>
  <si>
    <t>基础生命</t>
  </si>
  <si>
    <t>基础速度</t>
  </si>
  <si>
    <t>接触基地伤害</t>
  </si>
  <si>
    <t>击杀奖励</t>
  </si>
  <si>
    <t>半径</t>
  </si>
  <si>
    <t>特殊能力/说明</t>
  </si>
  <si>
    <t>波次变化</t>
  </si>
  <si>
    <t>SimpleEnemy</t>
  </si>
  <si>
    <t>普通敌人</t>
  </si>
  <si>
    <t>无</t>
  </si>
  <si>
    <t>生命 × (1 + 波次 / 10)</t>
  </si>
  <si>
    <t>FastEnemy</t>
  </si>
  <si>
    <t>快速敌人</t>
  </si>
  <si>
    <t>生命按波次增长；速度 × min(1 + 波次 / 30, 1.7)</t>
  </si>
  <si>
    <t>ArmoredEnemy</t>
  </si>
  <si>
    <t>装甲敌人</t>
  </si>
  <si>
    <t>当前代码没有实际伤害减免</t>
  </si>
  <si>
    <t>生命按波次增长；速度 × min(1 + 波次 / 30, 1.5)</t>
  </si>
  <si>
    <t>HealerEnemy</t>
  </si>
  <si>
    <t>治疗敌人</t>
  </si>
  <si>
    <t>40px 内其他敌人治疗 100 HP/s；效果持续/刷新 100ms</t>
  </si>
  <si>
    <t>BossEnemy</t>
  </si>
  <si>
    <t>Boss</t>
  </si>
  <si>
    <t>无额外技能；高生命、高半径、高奖励</t>
  </si>
  <si>
    <t>生命 × (1 + 波次 / 10)；速度不随波次增长</t>
  </si>
  <si>
    <t>波次生成规则与口径</t>
  </si>
  <si>
    <t>整理范围</t>
  </si>
  <si>
    <t>第1–200波</t>
  </si>
  <si>
    <t>单路口径</t>
  </si>
  <si>
    <t>只计算一个 enemy base；多路时，当前 WavesManager 会把每组数量复制到每个敌方基地</t>
  </si>
  <si>
    <t>波次1–3</t>
  </si>
  <si>
    <t>SimpleEnemy 数量 = 9 + 波次，分别为10、11、12</t>
  </si>
  <si>
    <t>每8波</t>
  </si>
  <si>
    <t>BossEnemy 数量配置为 wave/10，实际 for 循环生成 ceil(wave/10) 个；另有约40%概率加入 HealerEnemy</t>
  </si>
  <si>
    <t>普通波 Fast</t>
  </si>
  <si>
    <t>约30%概率出现；配置数量为 2 + wave/5，实际生成 ceil(2 + wave/5) 个</t>
  </si>
  <si>
    <t>普通波 Armored</t>
  </si>
  <si>
    <t>约60%概率直接生成 10 + wave 个 ArmoredEnemy</t>
  </si>
  <si>
    <t>普通波 Split</t>
  </si>
  <si>
    <t>约40%概率；split=rand(0,(10+wave)/3)。split&gt;0 时生成 split 组，每组 Armored 数量按 ceil((10+wave)/split)，并生成 split 个 HealerEnemy</t>
  </si>
  <si>
    <t>已知边界</t>
  </si>
  <si>
    <t>Split 可能取0，此时该分支不会生成敌人；这是当前代码的实际行为，表格没有替它修正</t>
  </si>
  <si>
    <t>所有波次生成的敌人生命 = 基础生命 × (1 + 波次/10)</t>
  </si>
  <si>
    <t>来源</t>
  </si>
  <si>
    <t>G:/hackathon921/src/WavesManager.ts；G:/hackathon921/src/entities/enemies/Enemy.ts 及各敌人类文件</t>
  </si>
  <si>
    <r>
      <rPr>
        <sz val="11"/>
        <rFont val="微软雅黑"/>
        <family val="2"/>
        <charset val="134"/>
      </rPr>
      <t>基地血量：</t>
    </r>
    <r>
      <rPr>
        <sz val="11"/>
        <rFont val="Arial"/>
        <family val="2"/>
      </rPr>
      <t>15</t>
    </r>
    <r>
      <rPr>
        <sz val="11"/>
        <rFont val="微软雅黑"/>
        <family val="2"/>
        <charset val="134"/>
      </rPr>
      <t>，每个敌人入侵血量</t>
    </r>
    <r>
      <rPr>
        <sz val="11"/>
        <rFont val="Arial"/>
        <family val="2"/>
      </rPr>
      <t>-1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</si>
</sst>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>
    <font>
      <sz val="11"/>
      <name val="Carlito"/>
    </font>
    <font>
      <b/>
      <sz val="14"/>
      <color rgb="FF1F2937"/>
      <name val="Aptos"/>
      <family val="2"/>
    </font>
    <font>
      <i/>
      <sz val="10"/>
      <color rgb="FF4B5563"/>
      <name val="Aptos"/>
      <family val="2"/>
    </font>
    <font>
      <b/>
      <sz val="10"/>
      <color rgb="FFFFFFFF"/>
      <name val="Aptos"/>
      <family val="2"/>
    </font>
    <font>
      <sz val="10"/>
      <color rgb="FF1F2937"/>
      <name val="Aptos"/>
      <family val="2"/>
    </font>
    <font>
      <b/>
      <sz val="10"/>
      <color rgb="FF1F2937"/>
      <name val="Aptos"/>
      <family val="2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6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vertical="center" wrapText="1"/>
    </xf>
    <xf numFmtId="176" fontId="4" fillId="0" borderId="2" xfId="1" applyNumberFormat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176" fontId="4" fillId="0" borderId="3" xfId="1" applyNumberFormat="1" applyFont="1" applyBorder="1" applyAlignment="1">
      <alignment vertical="center" wrapText="1"/>
    </xf>
    <xf numFmtId="0" fontId="5" fillId="3" borderId="4" xfId="1" applyFont="1" applyFill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0" fontId="10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aveDetailTable" displayName="WaveDetailTable" ref="A4:U204" totalsRowShown="0">
  <tableColumns count="21">
    <tableColumn id="1" xr3:uid="{00000000-0010-0000-0000-000001000000}" name="波次"/>
    <tableColumn id="2" xr3:uid="{00000000-0010-0000-0000-000002000000}" name="波次类型"/>
    <tableColumn id="3" xr3:uid="{00000000-0010-0000-0000-000003000000}" name="生命倍率"/>
    <tableColumn id="4" xr3:uid="{00000000-0010-0000-0000-000004000000}" name="Simple数量"/>
    <tableColumn id="5" xr3:uid="{00000000-0010-0000-0000-000005000000}" name="Simple生命"/>
    <tableColumn id="6" xr3:uid="{00000000-0010-0000-0000-000006000000}" name="Fast数量（出现时）"/>
    <tableColumn id="7" xr3:uid="{00000000-0010-0000-0000-000007000000}" name="Fast生命"/>
    <tableColumn id="8" xr3:uid="{00000000-0010-0000-0000-000008000000}" name="Fast速度"/>
    <tableColumn id="9" xr3:uid="{00000000-0010-0000-0000-000009000000}" name="Armored直出数量"/>
    <tableColumn id="10" xr3:uid="{00000000-0010-0000-0000-00000A000000}" name="Armored生命"/>
    <tableColumn id="11" xr3:uid="{00000000-0010-0000-0000-00000B000000}" name="Armored速度"/>
    <tableColumn id="12" xr3:uid="{00000000-0010-0000-0000-00000C000000}" name="Split分支规则"/>
    <tableColumn id="13" xr3:uid="{00000000-0010-0000-0000-00000D000000}" name="Split分支Healer数量"/>
    <tableColumn id="14" xr3:uid="{00000000-0010-0000-0000-00000E000000}" name="Healer生命"/>
    <tableColumn id="15" xr3:uid="{00000000-0010-0000-0000-00000F000000}" name="Healer速度"/>
    <tableColumn id="16" xr3:uid="{00000000-0010-0000-0000-000010000000}" name="Boss数量"/>
    <tableColumn id="17" xr3:uid="{00000000-0010-0000-0000-000011000000}" name="Boss生命"/>
    <tableColumn id="18" xr3:uid="{00000000-0010-0000-0000-000012000000}" name="Boss速度"/>
    <tableColumn id="19" xr3:uid="{00000000-0010-0000-0000-000013000000}" name="Boss波可选Healer数量"/>
    <tableColumn id="20" xr3:uid="{00000000-0010-0000-0000-000014000000}" name="单路敌人数量说明"/>
    <tableColumn id="21" xr3:uid="{00000000-0010-0000-0000-000015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emyStatsTable" displayName="EnemyStatsTable" ref="A4:I9" totalsRowShown="0">
  <tableColumns count="9">
    <tableColumn id="1" xr3:uid="{00000000-0010-0000-0100-000001000000}" name="源码类型"/>
    <tableColumn id="2" xr3:uid="{00000000-0010-0000-0100-000002000000}" name="中文名称"/>
    <tableColumn id="3" xr3:uid="{00000000-0010-0000-0100-000003000000}" name="基础生命"/>
    <tableColumn id="4" xr3:uid="{00000000-0010-0000-0100-000004000000}" name="基础速度"/>
    <tableColumn id="5" xr3:uid="{00000000-0010-0000-0100-000005000000}" name="接触基地伤害"/>
    <tableColumn id="6" xr3:uid="{00000000-0010-0000-0100-000006000000}" name="击杀奖励"/>
    <tableColumn id="7" xr3:uid="{00000000-0010-0000-0100-000007000000}" name="半径"/>
    <tableColumn id="8" xr3:uid="{00000000-0010-0000-0100-000008000000}" name="特殊能力/说明"/>
    <tableColumn id="9" xr3:uid="{00000000-0010-0000-0100-000009000000}" name="波次变化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4"/>
  <sheetViews>
    <sheetView showGridLines="0" tabSelected="1" workbookViewId="0">
      <pane ySplit="4" topLeftCell="A5" activePane="bottomLeft" state="frozen"/>
      <selection pane="bottomLeft" activeCell="B2" sqref="B2"/>
    </sheetView>
  </sheetViews>
  <sheetFormatPr defaultRowHeight="13.5"/>
  <cols>
    <col min="1" max="1" width="8" customWidth="1"/>
    <col min="2" max="2" width="17" customWidth="1"/>
    <col min="3" max="3" width="10" customWidth="1"/>
    <col min="4" max="11" width="13" customWidth="1"/>
    <col min="12" max="12" width="54" customWidth="1"/>
    <col min="13" max="15" width="15" customWidth="1"/>
    <col min="16" max="18" width="12" customWidth="1"/>
    <col min="19" max="19" width="38" customWidth="1"/>
    <col min="20" max="20" width="54" customWidth="1"/>
    <col min="21" max="21" width="46" customWidth="1"/>
  </cols>
  <sheetData>
    <row r="1" spans="1:21" ht="2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4.049999999999997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30" customHeight="1">
      <c r="A3" s="12" t="s">
        <v>531</v>
      </c>
    </row>
    <row r="4" spans="1:21" ht="3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spans="1:21" ht="30" customHeight="1">
      <c r="A5" s="4">
        <v>1</v>
      </c>
      <c r="B5" s="4" t="s">
        <v>23</v>
      </c>
      <c r="C5" s="5">
        <f t="shared" ref="C5:C36" si="0">1+A5/10</f>
        <v>1.1000000000000001</v>
      </c>
      <c r="D5" s="4">
        <v>10</v>
      </c>
      <c r="E5" s="5">
        <f t="shared" ref="E5:E36" si="1">IF(D5&lt;&gt;"",50*C5,"")</f>
        <v>55.000000000000007</v>
      </c>
      <c r="F5" s="5"/>
      <c r="G5" s="5" t="str">
        <f t="shared" ref="G5:G36" si="2">IF(F5&lt;&gt;"",200*C5,"")</f>
        <v/>
      </c>
      <c r="H5" s="5" t="str">
        <f t="shared" ref="H5:H36" si="3">IF(F5&lt;&gt;"",MIN(4*(1+A5/30),4*1.7),"")</f>
        <v/>
      </c>
      <c r="I5" s="5"/>
      <c r="J5" s="5" t="str">
        <f t="shared" ref="J5:J36" si="4">IF(I5&lt;&gt;"",200*C5,"")</f>
        <v/>
      </c>
      <c r="K5" s="5" t="str">
        <f t="shared" ref="K5:K36" si="5">IF(I5&lt;&gt;"",2.5*MIN(1+A5/30,1.5),"")</f>
        <v/>
      </c>
      <c r="L5" s="5"/>
      <c r="M5" s="5"/>
      <c r="N5" s="5" t="str">
        <f t="shared" ref="N5:N36" si="6">IF(M5&lt;&gt;"",200*C5,"")</f>
        <v/>
      </c>
      <c r="O5" s="5" t="str">
        <f t="shared" ref="O5:O36" si="7">IF(M5&lt;&gt;"",2.5*MIN(1+A5/30,1.5),"")</f>
        <v/>
      </c>
      <c r="P5" s="5"/>
      <c r="Q5" s="5" t="str">
        <f t="shared" ref="Q5:Q36" si="8">IF(P5&lt;&gt;"",2000*C5,"")</f>
        <v/>
      </c>
      <c r="R5" s="4"/>
      <c r="S5" s="4"/>
      <c r="T5" s="4" t="s">
        <v>24</v>
      </c>
      <c r="U5" s="4" t="s">
        <v>25</v>
      </c>
    </row>
    <row r="6" spans="1:21" ht="30" customHeight="1">
      <c r="A6" s="4">
        <v>2</v>
      </c>
      <c r="B6" s="4" t="s">
        <v>23</v>
      </c>
      <c r="C6" s="5">
        <f t="shared" si="0"/>
        <v>1.2</v>
      </c>
      <c r="D6" s="4">
        <v>11</v>
      </c>
      <c r="E6" s="5">
        <f t="shared" si="1"/>
        <v>60</v>
      </c>
      <c r="F6" s="5"/>
      <c r="G6" s="5" t="str">
        <f t="shared" si="2"/>
        <v/>
      </c>
      <c r="H6" s="5" t="str">
        <f t="shared" si="3"/>
        <v/>
      </c>
      <c r="I6" s="5"/>
      <c r="J6" s="5" t="str">
        <f t="shared" si="4"/>
        <v/>
      </c>
      <c r="K6" s="5" t="str">
        <f t="shared" si="5"/>
        <v/>
      </c>
      <c r="L6" s="5"/>
      <c r="M6" s="5"/>
      <c r="N6" s="5" t="str">
        <f t="shared" si="6"/>
        <v/>
      </c>
      <c r="O6" s="5" t="str">
        <f t="shared" si="7"/>
        <v/>
      </c>
      <c r="P6" s="5"/>
      <c r="Q6" s="5" t="str">
        <f t="shared" si="8"/>
        <v/>
      </c>
      <c r="R6" s="4"/>
      <c r="S6" s="4"/>
      <c r="T6" s="4" t="s">
        <v>26</v>
      </c>
      <c r="U6" s="4" t="s">
        <v>25</v>
      </c>
    </row>
    <row r="7" spans="1:21" ht="30" customHeight="1">
      <c r="A7" s="4">
        <v>3</v>
      </c>
      <c r="B7" s="4" t="s">
        <v>23</v>
      </c>
      <c r="C7" s="5">
        <f t="shared" si="0"/>
        <v>1.3</v>
      </c>
      <c r="D7" s="4">
        <v>12</v>
      </c>
      <c r="E7" s="5">
        <f t="shared" si="1"/>
        <v>65</v>
      </c>
      <c r="F7" s="5"/>
      <c r="G7" s="5" t="str">
        <f t="shared" si="2"/>
        <v/>
      </c>
      <c r="H7" s="5" t="str">
        <f t="shared" si="3"/>
        <v/>
      </c>
      <c r="I7" s="5"/>
      <c r="J7" s="5" t="str">
        <f t="shared" si="4"/>
        <v/>
      </c>
      <c r="K7" s="5" t="str">
        <f t="shared" si="5"/>
        <v/>
      </c>
      <c r="L7" s="5"/>
      <c r="M7" s="5"/>
      <c r="N7" s="5" t="str">
        <f t="shared" si="6"/>
        <v/>
      </c>
      <c r="O7" s="5" t="str">
        <f t="shared" si="7"/>
        <v/>
      </c>
      <c r="P7" s="5"/>
      <c r="Q7" s="5" t="str">
        <f t="shared" si="8"/>
        <v/>
      </c>
      <c r="R7" s="4"/>
      <c r="S7" s="4"/>
      <c r="T7" s="4" t="s">
        <v>27</v>
      </c>
      <c r="U7" s="4" t="s">
        <v>25</v>
      </c>
    </row>
    <row r="8" spans="1:21" ht="30" customHeight="1">
      <c r="A8" s="4">
        <v>4</v>
      </c>
      <c r="B8" s="4" t="s">
        <v>28</v>
      </c>
      <c r="C8" s="5">
        <f t="shared" si="0"/>
        <v>1.4</v>
      </c>
      <c r="D8" s="4"/>
      <c r="E8" s="5" t="str">
        <f t="shared" si="1"/>
        <v/>
      </c>
      <c r="F8" s="5">
        <v>3</v>
      </c>
      <c r="G8" s="5">
        <f t="shared" si="2"/>
        <v>280</v>
      </c>
      <c r="H8" s="5">
        <f t="shared" si="3"/>
        <v>4.5333333333333332</v>
      </c>
      <c r="I8" s="5">
        <v>14</v>
      </c>
      <c r="J8" s="5">
        <f t="shared" si="4"/>
        <v>280</v>
      </c>
      <c r="K8" s="5">
        <f t="shared" si="5"/>
        <v>2.833333333333333</v>
      </c>
      <c r="L8" s="5" t="s">
        <v>29</v>
      </c>
      <c r="M8" s="5" t="s">
        <v>30</v>
      </c>
      <c r="N8" s="5">
        <f t="shared" si="6"/>
        <v>280</v>
      </c>
      <c r="O8" s="5">
        <f t="shared" si="7"/>
        <v>2.833333333333333</v>
      </c>
      <c r="P8" s="5"/>
      <c r="Q8" s="5" t="str">
        <f t="shared" si="8"/>
        <v/>
      </c>
      <c r="R8" s="4"/>
      <c r="S8" s="4"/>
      <c r="T8" s="4" t="s">
        <v>31</v>
      </c>
      <c r="U8" s="4" t="s">
        <v>32</v>
      </c>
    </row>
    <row r="9" spans="1:21" ht="30" customHeight="1">
      <c r="A9" s="4">
        <v>5</v>
      </c>
      <c r="B9" s="4" t="s">
        <v>28</v>
      </c>
      <c r="C9" s="5">
        <f t="shared" si="0"/>
        <v>1.5</v>
      </c>
      <c r="D9" s="4"/>
      <c r="E9" s="5" t="str">
        <f t="shared" si="1"/>
        <v/>
      </c>
      <c r="F9" s="5">
        <v>3</v>
      </c>
      <c r="G9" s="5">
        <f t="shared" si="2"/>
        <v>300</v>
      </c>
      <c r="H9" s="5">
        <f t="shared" si="3"/>
        <v>4.666666666666667</v>
      </c>
      <c r="I9" s="5">
        <v>15</v>
      </c>
      <c r="J9" s="5">
        <f t="shared" si="4"/>
        <v>300</v>
      </c>
      <c r="K9" s="5">
        <f t="shared" si="5"/>
        <v>2.916666666666667</v>
      </c>
      <c r="L9" s="5" t="s">
        <v>33</v>
      </c>
      <c r="M9" s="5" t="s">
        <v>30</v>
      </c>
      <c r="N9" s="5">
        <f t="shared" si="6"/>
        <v>300</v>
      </c>
      <c r="O9" s="5">
        <f t="shared" si="7"/>
        <v>2.916666666666667</v>
      </c>
      <c r="P9" s="5"/>
      <c r="Q9" s="5" t="str">
        <f t="shared" si="8"/>
        <v/>
      </c>
      <c r="R9" s="4"/>
      <c r="S9" s="4"/>
      <c r="T9" s="4" t="s">
        <v>34</v>
      </c>
      <c r="U9" s="4" t="s">
        <v>32</v>
      </c>
    </row>
    <row r="10" spans="1:21" ht="30" customHeight="1">
      <c r="A10" s="4">
        <v>6</v>
      </c>
      <c r="B10" s="4" t="s">
        <v>28</v>
      </c>
      <c r="C10" s="5">
        <f t="shared" si="0"/>
        <v>1.6</v>
      </c>
      <c r="D10" s="4"/>
      <c r="E10" s="5" t="str">
        <f t="shared" si="1"/>
        <v/>
      </c>
      <c r="F10" s="5">
        <v>4</v>
      </c>
      <c r="G10" s="5">
        <f t="shared" si="2"/>
        <v>320</v>
      </c>
      <c r="H10" s="5">
        <f t="shared" si="3"/>
        <v>4.8</v>
      </c>
      <c r="I10" s="5">
        <v>16</v>
      </c>
      <c r="J10" s="5">
        <f t="shared" si="4"/>
        <v>320</v>
      </c>
      <c r="K10" s="5">
        <f t="shared" si="5"/>
        <v>3</v>
      </c>
      <c r="L10" s="5" t="s">
        <v>35</v>
      </c>
      <c r="M10" s="5" t="s">
        <v>36</v>
      </c>
      <c r="N10" s="5">
        <f t="shared" si="6"/>
        <v>320</v>
      </c>
      <c r="O10" s="5">
        <f t="shared" si="7"/>
        <v>3</v>
      </c>
      <c r="P10" s="5"/>
      <c r="Q10" s="5" t="str">
        <f t="shared" si="8"/>
        <v/>
      </c>
      <c r="R10" s="4"/>
      <c r="S10" s="4"/>
      <c r="T10" s="4" t="s">
        <v>37</v>
      </c>
      <c r="U10" s="4" t="s">
        <v>32</v>
      </c>
    </row>
    <row r="11" spans="1:21" ht="30" customHeight="1">
      <c r="A11" s="4">
        <v>7</v>
      </c>
      <c r="B11" s="4" t="s">
        <v>28</v>
      </c>
      <c r="C11" s="5">
        <f t="shared" si="0"/>
        <v>1.7</v>
      </c>
      <c r="D11" s="4"/>
      <c r="E11" s="5" t="str">
        <f t="shared" si="1"/>
        <v/>
      </c>
      <c r="F11" s="5">
        <v>4</v>
      </c>
      <c r="G11" s="5">
        <f t="shared" si="2"/>
        <v>340</v>
      </c>
      <c r="H11" s="5">
        <f t="shared" si="3"/>
        <v>4.9333333333333336</v>
      </c>
      <c r="I11" s="5">
        <v>17</v>
      </c>
      <c r="J11" s="5">
        <f t="shared" si="4"/>
        <v>340</v>
      </c>
      <c r="K11" s="5">
        <f t="shared" si="5"/>
        <v>3.0833333333333335</v>
      </c>
      <c r="L11" s="5" t="s">
        <v>38</v>
      </c>
      <c r="M11" s="5" t="s">
        <v>36</v>
      </c>
      <c r="N11" s="5">
        <f t="shared" si="6"/>
        <v>340</v>
      </c>
      <c r="O11" s="5">
        <f t="shared" si="7"/>
        <v>3.0833333333333335</v>
      </c>
      <c r="P11" s="5"/>
      <c r="Q11" s="5" t="str">
        <f t="shared" si="8"/>
        <v/>
      </c>
      <c r="R11" s="4"/>
      <c r="S11" s="4"/>
      <c r="T11" s="4" t="s">
        <v>39</v>
      </c>
      <c r="U11" s="4" t="s">
        <v>32</v>
      </c>
    </row>
    <row r="12" spans="1:21" ht="30" customHeight="1">
      <c r="A12" s="4">
        <v>8</v>
      </c>
      <c r="B12" s="4" t="s">
        <v>40</v>
      </c>
      <c r="C12" s="5">
        <f t="shared" si="0"/>
        <v>1.8</v>
      </c>
      <c r="D12" s="4"/>
      <c r="E12" s="5" t="str">
        <f t="shared" si="1"/>
        <v/>
      </c>
      <c r="F12" s="5"/>
      <c r="G12" s="5" t="str">
        <f t="shared" si="2"/>
        <v/>
      </c>
      <c r="H12" s="5" t="str">
        <f t="shared" si="3"/>
        <v/>
      </c>
      <c r="I12" s="5"/>
      <c r="J12" s="5" t="str">
        <f t="shared" si="4"/>
        <v/>
      </c>
      <c r="K12" s="5" t="str">
        <f t="shared" si="5"/>
        <v/>
      </c>
      <c r="L12" s="5"/>
      <c r="M12" s="5"/>
      <c r="N12" s="5" t="str">
        <f t="shared" si="6"/>
        <v/>
      </c>
      <c r="O12" s="5" t="str">
        <f t="shared" si="7"/>
        <v/>
      </c>
      <c r="P12" s="5">
        <v>1</v>
      </c>
      <c r="Q12" s="5">
        <f t="shared" si="8"/>
        <v>3600</v>
      </c>
      <c r="R12" s="4">
        <v>2.5</v>
      </c>
      <c r="S12" s="4" t="s">
        <v>41</v>
      </c>
      <c r="T12" s="4" t="s">
        <v>42</v>
      </c>
      <c r="U12" s="4" t="s">
        <v>43</v>
      </c>
    </row>
    <row r="13" spans="1:21" ht="30" customHeight="1">
      <c r="A13" s="4">
        <v>9</v>
      </c>
      <c r="B13" s="4" t="s">
        <v>28</v>
      </c>
      <c r="C13" s="5">
        <f t="shared" si="0"/>
        <v>1.9</v>
      </c>
      <c r="D13" s="4"/>
      <c r="E13" s="5" t="str">
        <f t="shared" si="1"/>
        <v/>
      </c>
      <c r="F13" s="5">
        <v>4</v>
      </c>
      <c r="G13" s="5">
        <f t="shared" si="2"/>
        <v>380</v>
      </c>
      <c r="H13" s="5">
        <f t="shared" si="3"/>
        <v>5.2</v>
      </c>
      <c r="I13" s="5">
        <v>19</v>
      </c>
      <c r="J13" s="5">
        <f t="shared" si="4"/>
        <v>380</v>
      </c>
      <c r="K13" s="5">
        <f t="shared" si="5"/>
        <v>3.25</v>
      </c>
      <c r="L13" s="5" t="s">
        <v>44</v>
      </c>
      <c r="M13" s="5" t="s">
        <v>45</v>
      </c>
      <c r="N13" s="5">
        <f t="shared" si="6"/>
        <v>380</v>
      </c>
      <c r="O13" s="5">
        <f t="shared" si="7"/>
        <v>3.25</v>
      </c>
      <c r="P13" s="5"/>
      <c r="Q13" s="5" t="str">
        <f t="shared" si="8"/>
        <v/>
      </c>
      <c r="R13" s="4"/>
      <c r="S13" s="4"/>
      <c r="T13" s="4" t="s">
        <v>46</v>
      </c>
      <c r="U13" s="4" t="s">
        <v>32</v>
      </c>
    </row>
    <row r="14" spans="1:21" ht="30" customHeight="1">
      <c r="A14" s="4">
        <v>10</v>
      </c>
      <c r="B14" s="4" t="s">
        <v>28</v>
      </c>
      <c r="C14" s="5">
        <f t="shared" si="0"/>
        <v>2</v>
      </c>
      <c r="D14" s="4"/>
      <c r="E14" s="5" t="str">
        <f t="shared" si="1"/>
        <v/>
      </c>
      <c r="F14" s="5">
        <v>4</v>
      </c>
      <c r="G14" s="5">
        <f t="shared" si="2"/>
        <v>400</v>
      </c>
      <c r="H14" s="5">
        <f t="shared" si="3"/>
        <v>5.333333333333333</v>
      </c>
      <c r="I14" s="5">
        <v>20</v>
      </c>
      <c r="J14" s="5">
        <f t="shared" si="4"/>
        <v>400</v>
      </c>
      <c r="K14" s="5">
        <f t="shared" si="5"/>
        <v>3.333333333333333</v>
      </c>
      <c r="L14" s="5" t="s">
        <v>47</v>
      </c>
      <c r="M14" s="5" t="s">
        <v>45</v>
      </c>
      <c r="N14" s="5">
        <f t="shared" si="6"/>
        <v>400</v>
      </c>
      <c r="O14" s="5">
        <f t="shared" si="7"/>
        <v>3.333333333333333</v>
      </c>
      <c r="P14" s="5"/>
      <c r="Q14" s="5" t="str">
        <f t="shared" si="8"/>
        <v/>
      </c>
      <c r="R14" s="4"/>
      <c r="S14" s="4"/>
      <c r="T14" s="4" t="s">
        <v>48</v>
      </c>
      <c r="U14" s="4" t="s">
        <v>32</v>
      </c>
    </row>
    <row r="15" spans="1:21" ht="30" customHeight="1">
      <c r="A15" s="4">
        <v>11</v>
      </c>
      <c r="B15" s="4" t="s">
        <v>28</v>
      </c>
      <c r="C15" s="5">
        <f t="shared" si="0"/>
        <v>2.1</v>
      </c>
      <c r="D15" s="4"/>
      <c r="E15" s="5" t="str">
        <f t="shared" si="1"/>
        <v/>
      </c>
      <c r="F15" s="5">
        <v>5</v>
      </c>
      <c r="G15" s="5">
        <f t="shared" si="2"/>
        <v>420</v>
      </c>
      <c r="H15" s="5">
        <f t="shared" si="3"/>
        <v>5.4666666666666668</v>
      </c>
      <c r="I15" s="5">
        <v>21</v>
      </c>
      <c r="J15" s="5">
        <f t="shared" si="4"/>
        <v>420</v>
      </c>
      <c r="K15" s="5">
        <f t="shared" si="5"/>
        <v>3.416666666666667</v>
      </c>
      <c r="L15" s="5" t="s">
        <v>49</v>
      </c>
      <c r="M15" s="5" t="s">
        <v>45</v>
      </c>
      <c r="N15" s="5">
        <f t="shared" si="6"/>
        <v>420</v>
      </c>
      <c r="O15" s="5">
        <f t="shared" si="7"/>
        <v>3.416666666666667</v>
      </c>
      <c r="P15" s="5"/>
      <c r="Q15" s="5" t="str">
        <f t="shared" si="8"/>
        <v/>
      </c>
      <c r="R15" s="4"/>
      <c r="S15" s="4"/>
      <c r="T15" s="4" t="s">
        <v>50</v>
      </c>
      <c r="U15" s="4" t="s">
        <v>32</v>
      </c>
    </row>
    <row r="16" spans="1:21" ht="30" customHeight="1">
      <c r="A16" s="4">
        <v>12</v>
      </c>
      <c r="B16" s="4" t="s">
        <v>28</v>
      </c>
      <c r="C16" s="5">
        <f t="shared" si="0"/>
        <v>2.2000000000000002</v>
      </c>
      <c r="D16" s="4"/>
      <c r="E16" s="5" t="str">
        <f t="shared" si="1"/>
        <v/>
      </c>
      <c r="F16" s="5">
        <v>5</v>
      </c>
      <c r="G16" s="5">
        <f t="shared" si="2"/>
        <v>440.00000000000006</v>
      </c>
      <c r="H16" s="5">
        <f t="shared" si="3"/>
        <v>5.6</v>
      </c>
      <c r="I16" s="5">
        <v>22</v>
      </c>
      <c r="J16" s="5">
        <f t="shared" si="4"/>
        <v>440.00000000000006</v>
      </c>
      <c r="K16" s="5">
        <f t="shared" si="5"/>
        <v>3.5</v>
      </c>
      <c r="L16" s="5" t="s">
        <v>51</v>
      </c>
      <c r="M16" s="5" t="s">
        <v>52</v>
      </c>
      <c r="N16" s="5">
        <f t="shared" si="6"/>
        <v>440.00000000000006</v>
      </c>
      <c r="O16" s="5">
        <f t="shared" si="7"/>
        <v>3.5</v>
      </c>
      <c r="P16" s="5"/>
      <c r="Q16" s="5" t="str">
        <f t="shared" si="8"/>
        <v/>
      </c>
      <c r="R16" s="4"/>
      <c r="S16" s="4"/>
      <c r="T16" s="4" t="s">
        <v>53</v>
      </c>
      <c r="U16" s="4" t="s">
        <v>32</v>
      </c>
    </row>
    <row r="17" spans="1:21" ht="30" customHeight="1">
      <c r="A17" s="4">
        <v>13</v>
      </c>
      <c r="B17" s="4" t="s">
        <v>28</v>
      </c>
      <c r="C17" s="5">
        <f t="shared" si="0"/>
        <v>2.2999999999999998</v>
      </c>
      <c r="D17" s="4"/>
      <c r="E17" s="5" t="str">
        <f t="shared" si="1"/>
        <v/>
      </c>
      <c r="F17" s="5">
        <v>5</v>
      </c>
      <c r="G17" s="5">
        <f t="shared" si="2"/>
        <v>459.99999999999994</v>
      </c>
      <c r="H17" s="5">
        <f t="shared" si="3"/>
        <v>5.7333333333333334</v>
      </c>
      <c r="I17" s="5">
        <v>23</v>
      </c>
      <c r="J17" s="5">
        <f t="shared" si="4"/>
        <v>459.99999999999994</v>
      </c>
      <c r="K17" s="5">
        <f t="shared" si="5"/>
        <v>3.5833333333333335</v>
      </c>
      <c r="L17" s="5" t="s">
        <v>54</v>
      </c>
      <c r="M17" s="5" t="s">
        <v>52</v>
      </c>
      <c r="N17" s="5">
        <f t="shared" si="6"/>
        <v>459.99999999999994</v>
      </c>
      <c r="O17" s="5">
        <f t="shared" si="7"/>
        <v>3.5833333333333335</v>
      </c>
      <c r="P17" s="5"/>
      <c r="Q17" s="5" t="str">
        <f t="shared" si="8"/>
        <v/>
      </c>
      <c r="R17" s="4"/>
      <c r="S17" s="4"/>
      <c r="T17" s="4" t="s">
        <v>55</v>
      </c>
      <c r="U17" s="4" t="s">
        <v>32</v>
      </c>
    </row>
    <row r="18" spans="1:21" ht="30" customHeight="1">
      <c r="A18" s="4">
        <v>14</v>
      </c>
      <c r="B18" s="4" t="s">
        <v>28</v>
      </c>
      <c r="C18" s="5">
        <f t="shared" si="0"/>
        <v>2.4</v>
      </c>
      <c r="D18" s="4"/>
      <c r="E18" s="5" t="str">
        <f t="shared" si="1"/>
        <v/>
      </c>
      <c r="F18" s="5">
        <v>5</v>
      </c>
      <c r="G18" s="5">
        <f t="shared" si="2"/>
        <v>480</v>
      </c>
      <c r="H18" s="5">
        <f t="shared" si="3"/>
        <v>5.8666666666666671</v>
      </c>
      <c r="I18" s="5">
        <v>24</v>
      </c>
      <c r="J18" s="5">
        <f t="shared" si="4"/>
        <v>480</v>
      </c>
      <c r="K18" s="5">
        <f t="shared" si="5"/>
        <v>3.666666666666667</v>
      </c>
      <c r="L18" s="5" t="s">
        <v>56</v>
      </c>
      <c r="M18" s="5" t="s">
        <v>52</v>
      </c>
      <c r="N18" s="5">
        <f t="shared" si="6"/>
        <v>480</v>
      </c>
      <c r="O18" s="5">
        <f t="shared" si="7"/>
        <v>3.666666666666667</v>
      </c>
      <c r="P18" s="5"/>
      <c r="Q18" s="5" t="str">
        <f t="shared" si="8"/>
        <v/>
      </c>
      <c r="R18" s="4"/>
      <c r="S18" s="4"/>
      <c r="T18" s="4" t="s">
        <v>57</v>
      </c>
      <c r="U18" s="4" t="s">
        <v>32</v>
      </c>
    </row>
    <row r="19" spans="1:21" ht="30" customHeight="1">
      <c r="A19" s="4">
        <v>15</v>
      </c>
      <c r="B19" s="4" t="s">
        <v>28</v>
      </c>
      <c r="C19" s="5">
        <f t="shared" si="0"/>
        <v>2.5</v>
      </c>
      <c r="D19" s="4"/>
      <c r="E19" s="5" t="str">
        <f t="shared" si="1"/>
        <v/>
      </c>
      <c r="F19" s="5">
        <v>5</v>
      </c>
      <c r="G19" s="5">
        <f t="shared" si="2"/>
        <v>500</v>
      </c>
      <c r="H19" s="5">
        <f t="shared" si="3"/>
        <v>6</v>
      </c>
      <c r="I19" s="5">
        <v>25</v>
      </c>
      <c r="J19" s="5">
        <f t="shared" si="4"/>
        <v>500</v>
      </c>
      <c r="K19" s="5">
        <f t="shared" si="5"/>
        <v>3.75</v>
      </c>
      <c r="L19" s="5" t="s">
        <v>58</v>
      </c>
      <c r="M19" s="5" t="s">
        <v>59</v>
      </c>
      <c r="N19" s="5">
        <f t="shared" si="6"/>
        <v>500</v>
      </c>
      <c r="O19" s="5">
        <f t="shared" si="7"/>
        <v>3.75</v>
      </c>
      <c r="P19" s="5"/>
      <c r="Q19" s="5" t="str">
        <f t="shared" si="8"/>
        <v/>
      </c>
      <c r="R19" s="4"/>
      <c r="S19" s="4"/>
      <c r="T19" s="4" t="s">
        <v>60</v>
      </c>
      <c r="U19" s="4" t="s">
        <v>32</v>
      </c>
    </row>
    <row r="20" spans="1:21" ht="30" customHeight="1">
      <c r="A20" s="4">
        <v>16</v>
      </c>
      <c r="B20" s="4" t="s">
        <v>40</v>
      </c>
      <c r="C20" s="5">
        <f t="shared" si="0"/>
        <v>2.6</v>
      </c>
      <c r="D20" s="4"/>
      <c r="E20" s="5" t="str">
        <f t="shared" si="1"/>
        <v/>
      </c>
      <c r="F20" s="5"/>
      <c r="G20" s="5" t="str">
        <f t="shared" si="2"/>
        <v/>
      </c>
      <c r="H20" s="5" t="str">
        <f t="shared" si="3"/>
        <v/>
      </c>
      <c r="I20" s="5"/>
      <c r="J20" s="5" t="str">
        <f t="shared" si="4"/>
        <v/>
      </c>
      <c r="K20" s="5" t="str">
        <f t="shared" si="5"/>
        <v/>
      </c>
      <c r="L20" s="5"/>
      <c r="M20" s="5"/>
      <c r="N20" s="5" t="str">
        <f t="shared" si="6"/>
        <v/>
      </c>
      <c r="O20" s="5" t="str">
        <f t="shared" si="7"/>
        <v/>
      </c>
      <c r="P20" s="5">
        <v>2</v>
      </c>
      <c r="Q20" s="5">
        <f t="shared" si="8"/>
        <v>5200</v>
      </c>
      <c r="R20" s="4">
        <v>2.5</v>
      </c>
      <c r="S20" s="4" t="s">
        <v>61</v>
      </c>
      <c r="T20" s="4" t="s">
        <v>62</v>
      </c>
      <c r="U20" s="4" t="s">
        <v>43</v>
      </c>
    </row>
    <row r="21" spans="1:21" ht="30" customHeight="1">
      <c r="A21" s="4">
        <v>17</v>
      </c>
      <c r="B21" s="4" t="s">
        <v>28</v>
      </c>
      <c r="C21" s="5">
        <f t="shared" si="0"/>
        <v>2.7</v>
      </c>
      <c r="D21" s="4"/>
      <c r="E21" s="5" t="str">
        <f t="shared" si="1"/>
        <v/>
      </c>
      <c r="F21" s="5">
        <v>6</v>
      </c>
      <c r="G21" s="5">
        <f t="shared" si="2"/>
        <v>540</v>
      </c>
      <c r="H21" s="5">
        <f t="shared" si="3"/>
        <v>6.2666666666666666</v>
      </c>
      <c r="I21" s="5">
        <v>27</v>
      </c>
      <c r="J21" s="5">
        <f t="shared" si="4"/>
        <v>540</v>
      </c>
      <c r="K21" s="5">
        <f t="shared" si="5"/>
        <v>3.75</v>
      </c>
      <c r="L21" s="5" t="s">
        <v>63</v>
      </c>
      <c r="M21" s="5" t="s">
        <v>59</v>
      </c>
      <c r="N21" s="5">
        <f t="shared" si="6"/>
        <v>540</v>
      </c>
      <c r="O21" s="5">
        <f t="shared" si="7"/>
        <v>3.75</v>
      </c>
      <c r="P21" s="5"/>
      <c r="Q21" s="5" t="str">
        <f t="shared" si="8"/>
        <v/>
      </c>
      <c r="R21" s="4"/>
      <c r="S21" s="4"/>
      <c r="T21" s="4" t="s">
        <v>64</v>
      </c>
      <c r="U21" s="4" t="s">
        <v>32</v>
      </c>
    </row>
    <row r="22" spans="1:21" ht="30" customHeight="1">
      <c r="A22" s="4">
        <v>18</v>
      </c>
      <c r="B22" s="4" t="s">
        <v>28</v>
      </c>
      <c r="C22" s="5">
        <f t="shared" si="0"/>
        <v>2.8</v>
      </c>
      <c r="D22" s="4"/>
      <c r="E22" s="5" t="str">
        <f t="shared" si="1"/>
        <v/>
      </c>
      <c r="F22" s="5">
        <v>6</v>
      </c>
      <c r="G22" s="5">
        <f t="shared" si="2"/>
        <v>560</v>
      </c>
      <c r="H22" s="5">
        <f t="shared" si="3"/>
        <v>6.4</v>
      </c>
      <c r="I22" s="5">
        <v>28</v>
      </c>
      <c r="J22" s="5">
        <f t="shared" si="4"/>
        <v>560</v>
      </c>
      <c r="K22" s="5">
        <f t="shared" si="5"/>
        <v>3.75</v>
      </c>
      <c r="L22" s="5" t="s">
        <v>65</v>
      </c>
      <c r="M22" s="5" t="s">
        <v>66</v>
      </c>
      <c r="N22" s="5">
        <f t="shared" si="6"/>
        <v>560</v>
      </c>
      <c r="O22" s="5">
        <f t="shared" si="7"/>
        <v>3.75</v>
      </c>
      <c r="P22" s="5"/>
      <c r="Q22" s="5" t="str">
        <f t="shared" si="8"/>
        <v/>
      </c>
      <c r="R22" s="4"/>
      <c r="S22" s="4"/>
      <c r="T22" s="4" t="s">
        <v>67</v>
      </c>
      <c r="U22" s="4" t="s">
        <v>32</v>
      </c>
    </row>
    <row r="23" spans="1:21" ht="30" customHeight="1">
      <c r="A23" s="4">
        <v>19</v>
      </c>
      <c r="B23" s="4" t="s">
        <v>28</v>
      </c>
      <c r="C23" s="5">
        <f t="shared" si="0"/>
        <v>2.9</v>
      </c>
      <c r="D23" s="4"/>
      <c r="E23" s="5" t="str">
        <f t="shared" si="1"/>
        <v/>
      </c>
      <c r="F23" s="5">
        <v>6</v>
      </c>
      <c r="G23" s="5">
        <f t="shared" si="2"/>
        <v>580</v>
      </c>
      <c r="H23" s="5">
        <f t="shared" si="3"/>
        <v>6.5333333333333332</v>
      </c>
      <c r="I23" s="5">
        <v>29</v>
      </c>
      <c r="J23" s="5">
        <f t="shared" si="4"/>
        <v>580</v>
      </c>
      <c r="K23" s="5">
        <f t="shared" si="5"/>
        <v>3.75</v>
      </c>
      <c r="L23" s="5" t="s">
        <v>68</v>
      </c>
      <c r="M23" s="5" t="s">
        <v>66</v>
      </c>
      <c r="N23" s="5">
        <f t="shared" si="6"/>
        <v>580</v>
      </c>
      <c r="O23" s="5">
        <f t="shared" si="7"/>
        <v>3.75</v>
      </c>
      <c r="P23" s="5"/>
      <c r="Q23" s="5" t="str">
        <f t="shared" si="8"/>
        <v/>
      </c>
      <c r="R23" s="4"/>
      <c r="S23" s="4"/>
      <c r="T23" s="4" t="s">
        <v>69</v>
      </c>
      <c r="U23" s="4" t="s">
        <v>32</v>
      </c>
    </row>
    <row r="24" spans="1:21" ht="30" customHeight="1">
      <c r="A24" s="4">
        <v>20</v>
      </c>
      <c r="B24" s="4" t="s">
        <v>28</v>
      </c>
      <c r="C24" s="5">
        <f t="shared" si="0"/>
        <v>3</v>
      </c>
      <c r="D24" s="4"/>
      <c r="E24" s="5" t="str">
        <f t="shared" si="1"/>
        <v/>
      </c>
      <c r="F24" s="5">
        <v>6</v>
      </c>
      <c r="G24" s="5">
        <f t="shared" si="2"/>
        <v>600</v>
      </c>
      <c r="H24" s="5">
        <f t="shared" si="3"/>
        <v>6.6666666666666661</v>
      </c>
      <c r="I24" s="5">
        <v>30</v>
      </c>
      <c r="J24" s="5">
        <f t="shared" si="4"/>
        <v>600</v>
      </c>
      <c r="K24" s="5">
        <f t="shared" si="5"/>
        <v>3.75</v>
      </c>
      <c r="L24" s="5" t="s">
        <v>70</v>
      </c>
      <c r="M24" s="5" t="s">
        <v>66</v>
      </c>
      <c r="N24" s="5">
        <f t="shared" si="6"/>
        <v>600</v>
      </c>
      <c r="O24" s="5">
        <f t="shared" si="7"/>
        <v>3.75</v>
      </c>
      <c r="P24" s="5"/>
      <c r="Q24" s="5" t="str">
        <f t="shared" si="8"/>
        <v/>
      </c>
      <c r="R24" s="4"/>
      <c r="S24" s="4"/>
      <c r="T24" s="4" t="s">
        <v>71</v>
      </c>
      <c r="U24" s="4" t="s">
        <v>32</v>
      </c>
    </row>
    <row r="25" spans="1:21" ht="30" customHeight="1">
      <c r="A25" s="4">
        <v>21</v>
      </c>
      <c r="B25" s="4" t="s">
        <v>28</v>
      </c>
      <c r="C25" s="5">
        <f t="shared" si="0"/>
        <v>3.1</v>
      </c>
      <c r="D25" s="4"/>
      <c r="E25" s="5" t="str">
        <f t="shared" si="1"/>
        <v/>
      </c>
      <c r="F25" s="5">
        <v>7</v>
      </c>
      <c r="G25" s="5">
        <f t="shared" si="2"/>
        <v>620</v>
      </c>
      <c r="H25" s="5">
        <f t="shared" si="3"/>
        <v>6.8</v>
      </c>
      <c r="I25" s="5">
        <v>31</v>
      </c>
      <c r="J25" s="5">
        <f t="shared" si="4"/>
        <v>620</v>
      </c>
      <c r="K25" s="5">
        <f t="shared" si="5"/>
        <v>3.75</v>
      </c>
      <c r="L25" s="5" t="s">
        <v>72</v>
      </c>
      <c r="M25" s="5" t="s">
        <v>73</v>
      </c>
      <c r="N25" s="5">
        <f t="shared" si="6"/>
        <v>620</v>
      </c>
      <c r="O25" s="5">
        <f t="shared" si="7"/>
        <v>3.75</v>
      </c>
      <c r="P25" s="5"/>
      <c r="Q25" s="5" t="str">
        <f t="shared" si="8"/>
        <v/>
      </c>
      <c r="R25" s="4"/>
      <c r="S25" s="4"/>
      <c r="T25" s="4" t="s">
        <v>74</v>
      </c>
      <c r="U25" s="4" t="s">
        <v>32</v>
      </c>
    </row>
    <row r="26" spans="1:21" ht="30" customHeight="1">
      <c r="A26" s="4">
        <v>22</v>
      </c>
      <c r="B26" s="4" t="s">
        <v>28</v>
      </c>
      <c r="C26" s="5">
        <f t="shared" si="0"/>
        <v>3.2</v>
      </c>
      <c r="D26" s="4"/>
      <c r="E26" s="5" t="str">
        <f t="shared" si="1"/>
        <v/>
      </c>
      <c r="F26" s="5">
        <v>7</v>
      </c>
      <c r="G26" s="5">
        <f t="shared" si="2"/>
        <v>640</v>
      </c>
      <c r="H26" s="5">
        <f t="shared" si="3"/>
        <v>6.8</v>
      </c>
      <c r="I26" s="5">
        <v>32</v>
      </c>
      <c r="J26" s="5">
        <f t="shared" si="4"/>
        <v>640</v>
      </c>
      <c r="K26" s="5">
        <f t="shared" si="5"/>
        <v>3.75</v>
      </c>
      <c r="L26" s="5" t="s">
        <v>75</v>
      </c>
      <c r="M26" s="5" t="s">
        <v>73</v>
      </c>
      <c r="N26" s="5">
        <f t="shared" si="6"/>
        <v>640</v>
      </c>
      <c r="O26" s="5">
        <f t="shared" si="7"/>
        <v>3.75</v>
      </c>
      <c r="P26" s="5"/>
      <c r="Q26" s="5" t="str">
        <f t="shared" si="8"/>
        <v/>
      </c>
      <c r="R26" s="4"/>
      <c r="S26" s="4"/>
      <c r="T26" s="4" t="s">
        <v>76</v>
      </c>
      <c r="U26" s="4" t="s">
        <v>32</v>
      </c>
    </row>
    <row r="27" spans="1:21" ht="30" customHeight="1">
      <c r="A27" s="4">
        <v>23</v>
      </c>
      <c r="B27" s="4" t="s">
        <v>28</v>
      </c>
      <c r="C27" s="5">
        <f t="shared" si="0"/>
        <v>3.3</v>
      </c>
      <c r="D27" s="4"/>
      <c r="E27" s="5" t="str">
        <f t="shared" si="1"/>
        <v/>
      </c>
      <c r="F27" s="5">
        <v>7</v>
      </c>
      <c r="G27" s="5">
        <f t="shared" si="2"/>
        <v>660</v>
      </c>
      <c r="H27" s="5">
        <f t="shared" si="3"/>
        <v>6.8</v>
      </c>
      <c r="I27" s="5">
        <v>33</v>
      </c>
      <c r="J27" s="5">
        <f t="shared" si="4"/>
        <v>660</v>
      </c>
      <c r="K27" s="5">
        <f t="shared" si="5"/>
        <v>3.75</v>
      </c>
      <c r="L27" s="5" t="s">
        <v>77</v>
      </c>
      <c r="M27" s="5" t="s">
        <v>73</v>
      </c>
      <c r="N27" s="5">
        <f t="shared" si="6"/>
        <v>660</v>
      </c>
      <c r="O27" s="5">
        <f t="shared" si="7"/>
        <v>3.75</v>
      </c>
      <c r="P27" s="5"/>
      <c r="Q27" s="5" t="str">
        <f t="shared" si="8"/>
        <v/>
      </c>
      <c r="R27" s="4"/>
      <c r="S27" s="4"/>
      <c r="T27" s="4" t="s">
        <v>78</v>
      </c>
      <c r="U27" s="4" t="s">
        <v>32</v>
      </c>
    </row>
    <row r="28" spans="1:21" ht="30" customHeight="1">
      <c r="A28" s="4">
        <v>24</v>
      </c>
      <c r="B28" s="4" t="s">
        <v>40</v>
      </c>
      <c r="C28" s="5">
        <f t="shared" si="0"/>
        <v>3.4</v>
      </c>
      <c r="D28" s="4"/>
      <c r="E28" s="5" t="str">
        <f t="shared" si="1"/>
        <v/>
      </c>
      <c r="F28" s="5"/>
      <c r="G28" s="5" t="str">
        <f t="shared" si="2"/>
        <v/>
      </c>
      <c r="H28" s="5" t="str">
        <f t="shared" si="3"/>
        <v/>
      </c>
      <c r="I28" s="5"/>
      <c r="J28" s="5" t="str">
        <f t="shared" si="4"/>
        <v/>
      </c>
      <c r="K28" s="5" t="str">
        <f t="shared" si="5"/>
        <v/>
      </c>
      <c r="L28" s="5"/>
      <c r="M28" s="5"/>
      <c r="N28" s="5" t="str">
        <f t="shared" si="6"/>
        <v/>
      </c>
      <c r="O28" s="5" t="str">
        <f t="shared" si="7"/>
        <v/>
      </c>
      <c r="P28" s="5">
        <v>3</v>
      </c>
      <c r="Q28" s="5">
        <f t="shared" si="8"/>
        <v>6800</v>
      </c>
      <c r="R28" s="4">
        <v>2.5</v>
      </c>
      <c r="S28" s="4" t="s">
        <v>79</v>
      </c>
      <c r="T28" s="4" t="s">
        <v>80</v>
      </c>
      <c r="U28" s="4" t="s">
        <v>43</v>
      </c>
    </row>
    <row r="29" spans="1:21" ht="30" customHeight="1">
      <c r="A29" s="4">
        <v>25</v>
      </c>
      <c r="B29" s="4" t="s">
        <v>28</v>
      </c>
      <c r="C29" s="5">
        <f t="shared" si="0"/>
        <v>3.5</v>
      </c>
      <c r="D29" s="4"/>
      <c r="E29" s="5" t="str">
        <f t="shared" si="1"/>
        <v/>
      </c>
      <c r="F29" s="5">
        <v>7</v>
      </c>
      <c r="G29" s="5">
        <f t="shared" si="2"/>
        <v>700</v>
      </c>
      <c r="H29" s="5">
        <f t="shared" si="3"/>
        <v>6.8</v>
      </c>
      <c r="I29" s="5">
        <v>35</v>
      </c>
      <c r="J29" s="5">
        <f t="shared" si="4"/>
        <v>700</v>
      </c>
      <c r="K29" s="5">
        <f t="shared" si="5"/>
        <v>3.75</v>
      </c>
      <c r="L29" s="5" t="s">
        <v>81</v>
      </c>
      <c r="M29" s="5" t="s">
        <v>82</v>
      </c>
      <c r="N29" s="5">
        <f t="shared" si="6"/>
        <v>700</v>
      </c>
      <c r="O29" s="5">
        <f t="shared" si="7"/>
        <v>3.75</v>
      </c>
      <c r="P29" s="5"/>
      <c r="Q29" s="5" t="str">
        <f t="shared" si="8"/>
        <v/>
      </c>
      <c r="R29" s="4"/>
      <c r="S29" s="4"/>
      <c r="T29" s="4" t="s">
        <v>83</v>
      </c>
      <c r="U29" s="4" t="s">
        <v>32</v>
      </c>
    </row>
    <row r="30" spans="1:21" ht="30" customHeight="1">
      <c r="A30" s="4">
        <v>26</v>
      </c>
      <c r="B30" s="4" t="s">
        <v>28</v>
      </c>
      <c r="C30" s="5">
        <f t="shared" si="0"/>
        <v>3.6</v>
      </c>
      <c r="D30" s="4"/>
      <c r="E30" s="5" t="str">
        <f t="shared" si="1"/>
        <v/>
      </c>
      <c r="F30" s="5">
        <v>8</v>
      </c>
      <c r="G30" s="5">
        <f t="shared" si="2"/>
        <v>720</v>
      </c>
      <c r="H30" s="5">
        <f t="shared" si="3"/>
        <v>6.8</v>
      </c>
      <c r="I30" s="5">
        <v>36</v>
      </c>
      <c r="J30" s="5">
        <f t="shared" si="4"/>
        <v>720</v>
      </c>
      <c r="K30" s="5">
        <f t="shared" si="5"/>
        <v>3.75</v>
      </c>
      <c r="L30" s="5" t="s">
        <v>84</v>
      </c>
      <c r="M30" s="5" t="s">
        <v>82</v>
      </c>
      <c r="N30" s="5">
        <f t="shared" si="6"/>
        <v>720</v>
      </c>
      <c r="O30" s="5">
        <f t="shared" si="7"/>
        <v>3.75</v>
      </c>
      <c r="P30" s="5"/>
      <c r="Q30" s="5" t="str">
        <f t="shared" si="8"/>
        <v/>
      </c>
      <c r="R30" s="4"/>
      <c r="S30" s="4"/>
      <c r="T30" s="4" t="s">
        <v>85</v>
      </c>
      <c r="U30" s="4" t="s">
        <v>32</v>
      </c>
    </row>
    <row r="31" spans="1:21" ht="30" customHeight="1">
      <c r="A31" s="4">
        <v>27</v>
      </c>
      <c r="B31" s="4" t="s">
        <v>28</v>
      </c>
      <c r="C31" s="5">
        <f t="shared" si="0"/>
        <v>3.7</v>
      </c>
      <c r="D31" s="4"/>
      <c r="E31" s="5" t="str">
        <f t="shared" si="1"/>
        <v/>
      </c>
      <c r="F31" s="5">
        <v>8</v>
      </c>
      <c r="G31" s="5">
        <f t="shared" si="2"/>
        <v>740</v>
      </c>
      <c r="H31" s="5">
        <f t="shared" si="3"/>
        <v>6.8</v>
      </c>
      <c r="I31" s="5">
        <v>37</v>
      </c>
      <c r="J31" s="5">
        <f t="shared" si="4"/>
        <v>740</v>
      </c>
      <c r="K31" s="5">
        <f t="shared" si="5"/>
        <v>3.75</v>
      </c>
      <c r="L31" s="5" t="s">
        <v>86</v>
      </c>
      <c r="M31" s="5" t="s">
        <v>87</v>
      </c>
      <c r="N31" s="5">
        <f t="shared" si="6"/>
        <v>740</v>
      </c>
      <c r="O31" s="5">
        <f t="shared" si="7"/>
        <v>3.75</v>
      </c>
      <c r="P31" s="5"/>
      <c r="Q31" s="5" t="str">
        <f t="shared" si="8"/>
        <v/>
      </c>
      <c r="R31" s="4"/>
      <c r="S31" s="4"/>
      <c r="T31" s="4" t="s">
        <v>88</v>
      </c>
      <c r="U31" s="4" t="s">
        <v>32</v>
      </c>
    </row>
    <row r="32" spans="1:21" ht="30" customHeight="1">
      <c r="A32" s="4">
        <v>28</v>
      </c>
      <c r="B32" s="4" t="s">
        <v>28</v>
      </c>
      <c r="C32" s="5">
        <f t="shared" si="0"/>
        <v>3.8</v>
      </c>
      <c r="D32" s="4"/>
      <c r="E32" s="5" t="str">
        <f t="shared" si="1"/>
        <v/>
      </c>
      <c r="F32" s="5">
        <v>8</v>
      </c>
      <c r="G32" s="5">
        <f t="shared" si="2"/>
        <v>760</v>
      </c>
      <c r="H32" s="5">
        <f t="shared" si="3"/>
        <v>6.8</v>
      </c>
      <c r="I32" s="5">
        <v>38</v>
      </c>
      <c r="J32" s="5">
        <f t="shared" si="4"/>
        <v>760</v>
      </c>
      <c r="K32" s="5">
        <f t="shared" si="5"/>
        <v>3.75</v>
      </c>
      <c r="L32" s="5" t="s">
        <v>89</v>
      </c>
      <c r="M32" s="5" t="s">
        <v>87</v>
      </c>
      <c r="N32" s="5">
        <f t="shared" si="6"/>
        <v>760</v>
      </c>
      <c r="O32" s="5">
        <f t="shared" si="7"/>
        <v>3.75</v>
      </c>
      <c r="P32" s="5"/>
      <c r="Q32" s="5" t="str">
        <f t="shared" si="8"/>
        <v/>
      </c>
      <c r="R32" s="4"/>
      <c r="S32" s="4"/>
      <c r="T32" s="4" t="s">
        <v>90</v>
      </c>
      <c r="U32" s="4" t="s">
        <v>32</v>
      </c>
    </row>
    <row r="33" spans="1:21" ht="30" customHeight="1">
      <c r="A33" s="4">
        <v>29</v>
      </c>
      <c r="B33" s="4" t="s">
        <v>28</v>
      </c>
      <c r="C33" s="5">
        <f t="shared" si="0"/>
        <v>3.9</v>
      </c>
      <c r="D33" s="4"/>
      <c r="E33" s="5" t="str">
        <f t="shared" si="1"/>
        <v/>
      </c>
      <c r="F33" s="5">
        <v>8</v>
      </c>
      <c r="G33" s="5">
        <f t="shared" si="2"/>
        <v>780</v>
      </c>
      <c r="H33" s="5">
        <f t="shared" si="3"/>
        <v>6.8</v>
      </c>
      <c r="I33" s="5">
        <v>39</v>
      </c>
      <c r="J33" s="5">
        <f t="shared" si="4"/>
        <v>780</v>
      </c>
      <c r="K33" s="5">
        <f t="shared" si="5"/>
        <v>3.75</v>
      </c>
      <c r="L33" s="5" t="s">
        <v>91</v>
      </c>
      <c r="M33" s="5" t="s">
        <v>87</v>
      </c>
      <c r="N33" s="5">
        <f t="shared" si="6"/>
        <v>780</v>
      </c>
      <c r="O33" s="5">
        <f t="shared" si="7"/>
        <v>3.75</v>
      </c>
      <c r="P33" s="5"/>
      <c r="Q33" s="5" t="str">
        <f t="shared" si="8"/>
        <v/>
      </c>
      <c r="R33" s="4"/>
      <c r="S33" s="4"/>
      <c r="T33" s="4" t="s">
        <v>92</v>
      </c>
      <c r="U33" s="4" t="s">
        <v>32</v>
      </c>
    </row>
    <row r="34" spans="1:21" ht="30" customHeight="1">
      <c r="A34" s="4">
        <v>30</v>
      </c>
      <c r="B34" s="4" t="s">
        <v>28</v>
      </c>
      <c r="C34" s="5">
        <f t="shared" si="0"/>
        <v>4</v>
      </c>
      <c r="D34" s="4"/>
      <c r="E34" s="5" t="str">
        <f t="shared" si="1"/>
        <v/>
      </c>
      <c r="F34" s="5">
        <v>8</v>
      </c>
      <c r="G34" s="5">
        <f t="shared" si="2"/>
        <v>800</v>
      </c>
      <c r="H34" s="5">
        <f t="shared" si="3"/>
        <v>6.8</v>
      </c>
      <c r="I34" s="5">
        <v>40</v>
      </c>
      <c r="J34" s="5">
        <f t="shared" si="4"/>
        <v>800</v>
      </c>
      <c r="K34" s="5">
        <f t="shared" si="5"/>
        <v>3.75</v>
      </c>
      <c r="L34" s="5" t="s">
        <v>93</v>
      </c>
      <c r="M34" s="5" t="s">
        <v>94</v>
      </c>
      <c r="N34" s="5">
        <f t="shared" si="6"/>
        <v>800</v>
      </c>
      <c r="O34" s="5">
        <f t="shared" si="7"/>
        <v>3.75</v>
      </c>
      <c r="P34" s="5"/>
      <c r="Q34" s="5" t="str">
        <f t="shared" si="8"/>
        <v/>
      </c>
      <c r="R34" s="4"/>
      <c r="S34" s="4"/>
      <c r="T34" s="4" t="s">
        <v>95</v>
      </c>
      <c r="U34" s="4" t="s">
        <v>32</v>
      </c>
    </row>
    <row r="35" spans="1:21" ht="30" customHeight="1">
      <c r="A35" s="4">
        <v>31</v>
      </c>
      <c r="B35" s="4" t="s">
        <v>28</v>
      </c>
      <c r="C35" s="5">
        <f t="shared" si="0"/>
        <v>4.0999999999999996</v>
      </c>
      <c r="D35" s="4"/>
      <c r="E35" s="5" t="str">
        <f t="shared" si="1"/>
        <v/>
      </c>
      <c r="F35" s="5">
        <v>9</v>
      </c>
      <c r="G35" s="5">
        <f t="shared" si="2"/>
        <v>819.99999999999989</v>
      </c>
      <c r="H35" s="5">
        <f t="shared" si="3"/>
        <v>6.8</v>
      </c>
      <c r="I35" s="5">
        <v>41</v>
      </c>
      <c r="J35" s="5">
        <f t="shared" si="4"/>
        <v>819.99999999999989</v>
      </c>
      <c r="K35" s="5">
        <f t="shared" si="5"/>
        <v>3.75</v>
      </c>
      <c r="L35" s="5" t="s">
        <v>96</v>
      </c>
      <c r="M35" s="5" t="s">
        <v>94</v>
      </c>
      <c r="N35" s="5">
        <f t="shared" si="6"/>
        <v>819.99999999999989</v>
      </c>
      <c r="O35" s="5">
        <f t="shared" si="7"/>
        <v>3.75</v>
      </c>
      <c r="P35" s="5"/>
      <c r="Q35" s="5" t="str">
        <f t="shared" si="8"/>
        <v/>
      </c>
      <c r="R35" s="4"/>
      <c r="S35" s="4"/>
      <c r="T35" s="4" t="s">
        <v>97</v>
      </c>
      <c r="U35" s="4" t="s">
        <v>32</v>
      </c>
    </row>
    <row r="36" spans="1:21" ht="30" customHeight="1">
      <c r="A36" s="4">
        <v>32</v>
      </c>
      <c r="B36" s="4" t="s">
        <v>40</v>
      </c>
      <c r="C36" s="5">
        <f t="shared" si="0"/>
        <v>4.2</v>
      </c>
      <c r="D36" s="4"/>
      <c r="E36" s="5" t="str">
        <f t="shared" si="1"/>
        <v/>
      </c>
      <c r="F36" s="5"/>
      <c r="G36" s="5" t="str">
        <f t="shared" si="2"/>
        <v/>
      </c>
      <c r="H36" s="5" t="str">
        <f t="shared" si="3"/>
        <v/>
      </c>
      <c r="I36" s="5"/>
      <c r="J36" s="5" t="str">
        <f t="shared" si="4"/>
        <v/>
      </c>
      <c r="K36" s="5" t="str">
        <f t="shared" si="5"/>
        <v/>
      </c>
      <c r="L36" s="5"/>
      <c r="M36" s="5"/>
      <c r="N36" s="5" t="str">
        <f t="shared" si="6"/>
        <v/>
      </c>
      <c r="O36" s="5" t="str">
        <f t="shared" si="7"/>
        <v/>
      </c>
      <c r="P36" s="5">
        <v>4</v>
      </c>
      <c r="Q36" s="5">
        <f t="shared" si="8"/>
        <v>8400</v>
      </c>
      <c r="R36" s="4">
        <v>2.5</v>
      </c>
      <c r="S36" s="4" t="s">
        <v>98</v>
      </c>
      <c r="T36" s="4" t="s">
        <v>99</v>
      </c>
      <c r="U36" s="4" t="s">
        <v>43</v>
      </c>
    </row>
    <row r="37" spans="1:21" ht="30" customHeight="1">
      <c r="A37" s="4">
        <v>33</v>
      </c>
      <c r="B37" s="4" t="s">
        <v>28</v>
      </c>
      <c r="C37" s="5">
        <f t="shared" ref="C37:C68" si="9">1+A37/10</f>
        <v>4.3</v>
      </c>
      <c r="D37" s="4"/>
      <c r="E37" s="5" t="str">
        <f t="shared" ref="E37:E68" si="10">IF(D37&lt;&gt;"",50*C37,"")</f>
        <v/>
      </c>
      <c r="F37" s="5">
        <v>9</v>
      </c>
      <c r="G37" s="5">
        <f t="shared" ref="G37:G68" si="11">IF(F37&lt;&gt;"",200*C37,"")</f>
        <v>860</v>
      </c>
      <c r="H37" s="5">
        <f t="shared" ref="H37:H68" si="12">IF(F37&lt;&gt;"",MIN(4*(1+A37/30),4*1.7),"")</f>
        <v>6.8</v>
      </c>
      <c r="I37" s="5">
        <v>43</v>
      </c>
      <c r="J37" s="5">
        <f t="shared" ref="J37:J68" si="13">IF(I37&lt;&gt;"",200*C37,"")</f>
        <v>860</v>
      </c>
      <c r="K37" s="5">
        <f t="shared" ref="K37:K68" si="14">IF(I37&lt;&gt;"",2.5*MIN(1+A37/30,1.5),"")</f>
        <v>3.75</v>
      </c>
      <c r="L37" s="5" t="s">
        <v>100</v>
      </c>
      <c r="M37" s="5" t="s">
        <v>101</v>
      </c>
      <c r="N37" s="5">
        <f t="shared" ref="N37:N68" si="15">IF(M37&lt;&gt;"",200*C37,"")</f>
        <v>860</v>
      </c>
      <c r="O37" s="5">
        <f t="shared" ref="O37:O68" si="16">IF(M37&lt;&gt;"",2.5*MIN(1+A37/30,1.5),"")</f>
        <v>3.75</v>
      </c>
      <c r="P37" s="5"/>
      <c r="Q37" s="5" t="str">
        <f t="shared" ref="Q37:Q68" si="17">IF(P37&lt;&gt;"",2000*C37,"")</f>
        <v/>
      </c>
      <c r="R37" s="4"/>
      <c r="S37" s="4"/>
      <c r="T37" s="4" t="s">
        <v>102</v>
      </c>
      <c r="U37" s="4" t="s">
        <v>32</v>
      </c>
    </row>
    <row r="38" spans="1:21" ht="30" customHeight="1">
      <c r="A38" s="4">
        <v>34</v>
      </c>
      <c r="B38" s="4" t="s">
        <v>28</v>
      </c>
      <c r="C38" s="5">
        <f t="shared" si="9"/>
        <v>4.4000000000000004</v>
      </c>
      <c r="D38" s="4"/>
      <c r="E38" s="5" t="str">
        <f t="shared" si="10"/>
        <v/>
      </c>
      <c r="F38" s="5">
        <v>9</v>
      </c>
      <c r="G38" s="5">
        <f t="shared" si="11"/>
        <v>880.00000000000011</v>
      </c>
      <c r="H38" s="5">
        <f t="shared" si="12"/>
        <v>6.8</v>
      </c>
      <c r="I38" s="5">
        <v>44</v>
      </c>
      <c r="J38" s="5">
        <f t="shared" si="13"/>
        <v>880.00000000000011</v>
      </c>
      <c r="K38" s="5">
        <f t="shared" si="14"/>
        <v>3.75</v>
      </c>
      <c r="L38" s="5" t="s">
        <v>103</v>
      </c>
      <c r="M38" s="5" t="s">
        <v>101</v>
      </c>
      <c r="N38" s="5">
        <f t="shared" si="15"/>
        <v>880.00000000000011</v>
      </c>
      <c r="O38" s="5">
        <f t="shared" si="16"/>
        <v>3.75</v>
      </c>
      <c r="P38" s="5"/>
      <c r="Q38" s="5" t="str">
        <f t="shared" si="17"/>
        <v/>
      </c>
      <c r="R38" s="4"/>
      <c r="S38" s="4"/>
      <c r="T38" s="4" t="s">
        <v>104</v>
      </c>
      <c r="U38" s="4" t="s">
        <v>32</v>
      </c>
    </row>
    <row r="39" spans="1:21" ht="30" customHeight="1">
      <c r="A39" s="4">
        <v>35</v>
      </c>
      <c r="B39" s="4" t="s">
        <v>28</v>
      </c>
      <c r="C39" s="5">
        <f t="shared" si="9"/>
        <v>4.5</v>
      </c>
      <c r="D39" s="4"/>
      <c r="E39" s="5" t="str">
        <f t="shared" si="10"/>
        <v/>
      </c>
      <c r="F39" s="5">
        <v>9</v>
      </c>
      <c r="G39" s="5">
        <f t="shared" si="11"/>
        <v>900</v>
      </c>
      <c r="H39" s="5">
        <f t="shared" si="12"/>
        <v>6.8</v>
      </c>
      <c r="I39" s="5">
        <v>45</v>
      </c>
      <c r="J39" s="5">
        <f t="shared" si="13"/>
        <v>900</v>
      </c>
      <c r="K39" s="5">
        <f t="shared" si="14"/>
        <v>3.75</v>
      </c>
      <c r="L39" s="5" t="s">
        <v>105</v>
      </c>
      <c r="M39" s="5" t="s">
        <v>101</v>
      </c>
      <c r="N39" s="5">
        <f t="shared" si="15"/>
        <v>900</v>
      </c>
      <c r="O39" s="5">
        <f t="shared" si="16"/>
        <v>3.75</v>
      </c>
      <c r="P39" s="5"/>
      <c r="Q39" s="5" t="str">
        <f t="shared" si="17"/>
        <v/>
      </c>
      <c r="R39" s="4"/>
      <c r="S39" s="4"/>
      <c r="T39" s="4" t="s">
        <v>106</v>
      </c>
      <c r="U39" s="4" t="s">
        <v>32</v>
      </c>
    </row>
    <row r="40" spans="1:21" ht="30" customHeight="1">
      <c r="A40" s="4">
        <v>36</v>
      </c>
      <c r="B40" s="4" t="s">
        <v>28</v>
      </c>
      <c r="C40" s="5">
        <f t="shared" si="9"/>
        <v>4.5999999999999996</v>
      </c>
      <c r="D40" s="4"/>
      <c r="E40" s="5" t="str">
        <f t="shared" si="10"/>
        <v/>
      </c>
      <c r="F40" s="5">
        <v>10</v>
      </c>
      <c r="G40" s="5">
        <f t="shared" si="11"/>
        <v>919.99999999999989</v>
      </c>
      <c r="H40" s="5">
        <f t="shared" si="12"/>
        <v>6.8</v>
      </c>
      <c r="I40" s="5">
        <v>46</v>
      </c>
      <c r="J40" s="5">
        <f t="shared" si="13"/>
        <v>919.99999999999989</v>
      </c>
      <c r="K40" s="5">
        <f t="shared" si="14"/>
        <v>3.75</v>
      </c>
      <c r="L40" s="5" t="s">
        <v>107</v>
      </c>
      <c r="M40" s="5" t="s">
        <v>108</v>
      </c>
      <c r="N40" s="5">
        <f t="shared" si="15"/>
        <v>919.99999999999989</v>
      </c>
      <c r="O40" s="5">
        <f t="shared" si="16"/>
        <v>3.75</v>
      </c>
      <c r="P40" s="5"/>
      <c r="Q40" s="5" t="str">
        <f t="shared" si="17"/>
        <v/>
      </c>
      <c r="R40" s="4"/>
      <c r="S40" s="4"/>
      <c r="T40" s="4" t="s">
        <v>109</v>
      </c>
      <c r="U40" s="4" t="s">
        <v>32</v>
      </c>
    </row>
    <row r="41" spans="1:21" ht="30" customHeight="1">
      <c r="A41" s="4">
        <v>37</v>
      </c>
      <c r="B41" s="4" t="s">
        <v>28</v>
      </c>
      <c r="C41" s="5">
        <f t="shared" si="9"/>
        <v>4.7</v>
      </c>
      <c r="D41" s="4"/>
      <c r="E41" s="5" t="str">
        <f t="shared" si="10"/>
        <v/>
      </c>
      <c r="F41" s="5">
        <v>10</v>
      </c>
      <c r="G41" s="5">
        <f t="shared" si="11"/>
        <v>940</v>
      </c>
      <c r="H41" s="5">
        <f t="shared" si="12"/>
        <v>6.8</v>
      </c>
      <c r="I41" s="5">
        <v>47</v>
      </c>
      <c r="J41" s="5">
        <f t="shared" si="13"/>
        <v>940</v>
      </c>
      <c r="K41" s="5">
        <f t="shared" si="14"/>
        <v>3.75</v>
      </c>
      <c r="L41" s="5" t="s">
        <v>110</v>
      </c>
      <c r="M41" s="5" t="s">
        <v>108</v>
      </c>
      <c r="N41" s="5">
        <f t="shared" si="15"/>
        <v>940</v>
      </c>
      <c r="O41" s="5">
        <f t="shared" si="16"/>
        <v>3.75</v>
      </c>
      <c r="P41" s="5"/>
      <c r="Q41" s="5" t="str">
        <f t="shared" si="17"/>
        <v/>
      </c>
      <c r="R41" s="4"/>
      <c r="S41" s="4"/>
      <c r="T41" s="4" t="s">
        <v>111</v>
      </c>
      <c r="U41" s="4" t="s">
        <v>32</v>
      </c>
    </row>
    <row r="42" spans="1:21" ht="30" customHeight="1">
      <c r="A42" s="4">
        <v>38</v>
      </c>
      <c r="B42" s="4" t="s">
        <v>28</v>
      </c>
      <c r="C42" s="5">
        <f t="shared" si="9"/>
        <v>4.8</v>
      </c>
      <c r="D42" s="4"/>
      <c r="E42" s="5" t="str">
        <f t="shared" si="10"/>
        <v/>
      </c>
      <c r="F42" s="5">
        <v>10</v>
      </c>
      <c r="G42" s="5">
        <f t="shared" si="11"/>
        <v>960</v>
      </c>
      <c r="H42" s="5">
        <f t="shared" si="12"/>
        <v>6.8</v>
      </c>
      <c r="I42" s="5">
        <v>48</v>
      </c>
      <c r="J42" s="5">
        <f t="shared" si="13"/>
        <v>960</v>
      </c>
      <c r="K42" s="5">
        <f t="shared" si="14"/>
        <v>3.75</v>
      </c>
      <c r="L42" s="5" t="s">
        <v>112</v>
      </c>
      <c r="M42" s="5" t="s">
        <v>108</v>
      </c>
      <c r="N42" s="5">
        <f t="shared" si="15"/>
        <v>960</v>
      </c>
      <c r="O42" s="5">
        <f t="shared" si="16"/>
        <v>3.75</v>
      </c>
      <c r="P42" s="5"/>
      <c r="Q42" s="5" t="str">
        <f t="shared" si="17"/>
        <v/>
      </c>
      <c r="R42" s="4"/>
      <c r="S42" s="4"/>
      <c r="T42" s="4" t="s">
        <v>113</v>
      </c>
      <c r="U42" s="4" t="s">
        <v>32</v>
      </c>
    </row>
    <row r="43" spans="1:21" ht="30" customHeight="1">
      <c r="A43" s="4">
        <v>39</v>
      </c>
      <c r="B43" s="4" t="s">
        <v>28</v>
      </c>
      <c r="C43" s="5">
        <f t="shared" si="9"/>
        <v>4.9000000000000004</v>
      </c>
      <c r="D43" s="4"/>
      <c r="E43" s="5" t="str">
        <f t="shared" si="10"/>
        <v/>
      </c>
      <c r="F43" s="5">
        <v>10</v>
      </c>
      <c r="G43" s="5">
        <f t="shared" si="11"/>
        <v>980.00000000000011</v>
      </c>
      <c r="H43" s="5">
        <f t="shared" si="12"/>
        <v>6.8</v>
      </c>
      <c r="I43" s="5">
        <v>49</v>
      </c>
      <c r="J43" s="5">
        <f t="shared" si="13"/>
        <v>980.00000000000011</v>
      </c>
      <c r="K43" s="5">
        <f t="shared" si="14"/>
        <v>3.75</v>
      </c>
      <c r="L43" s="5" t="s">
        <v>114</v>
      </c>
      <c r="M43" s="5" t="s">
        <v>115</v>
      </c>
      <c r="N43" s="5">
        <f t="shared" si="15"/>
        <v>980.00000000000011</v>
      </c>
      <c r="O43" s="5">
        <f t="shared" si="16"/>
        <v>3.75</v>
      </c>
      <c r="P43" s="5"/>
      <c r="Q43" s="5" t="str">
        <f t="shared" si="17"/>
        <v/>
      </c>
      <c r="R43" s="4"/>
      <c r="S43" s="4"/>
      <c r="T43" s="4" t="s">
        <v>116</v>
      </c>
      <c r="U43" s="4" t="s">
        <v>32</v>
      </c>
    </row>
    <row r="44" spans="1:21" ht="30" customHeight="1">
      <c r="A44" s="4">
        <v>40</v>
      </c>
      <c r="B44" s="4" t="s">
        <v>40</v>
      </c>
      <c r="C44" s="5">
        <f t="shared" si="9"/>
        <v>5</v>
      </c>
      <c r="D44" s="4"/>
      <c r="E44" s="5" t="str">
        <f t="shared" si="10"/>
        <v/>
      </c>
      <c r="F44" s="5"/>
      <c r="G44" s="5" t="str">
        <f t="shared" si="11"/>
        <v/>
      </c>
      <c r="H44" s="5" t="str">
        <f t="shared" si="12"/>
        <v/>
      </c>
      <c r="I44" s="5"/>
      <c r="J44" s="5" t="str">
        <f t="shared" si="13"/>
        <v/>
      </c>
      <c r="K44" s="5" t="str">
        <f t="shared" si="14"/>
        <v/>
      </c>
      <c r="L44" s="5"/>
      <c r="M44" s="5"/>
      <c r="N44" s="5" t="str">
        <f t="shared" si="15"/>
        <v/>
      </c>
      <c r="O44" s="5" t="str">
        <f t="shared" si="16"/>
        <v/>
      </c>
      <c r="P44" s="5">
        <v>4</v>
      </c>
      <c r="Q44" s="5">
        <f t="shared" si="17"/>
        <v>10000</v>
      </c>
      <c r="R44" s="4">
        <v>2.5</v>
      </c>
      <c r="S44" s="4" t="s">
        <v>98</v>
      </c>
      <c r="T44" s="4" t="s">
        <v>99</v>
      </c>
      <c r="U44" s="4" t="s">
        <v>43</v>
      </c>
    </row>
    <row r="45" spans="1:21" ht="30" customHeight="1">
      <c r="A45" s="4">
        <v>41</v>
      </c>
      <c r="B45" s="4" t="s">
        <v>28</v>
      </c>
      <c r="C45" s="5">
        <f t="shared" si="9"/>
        <v>5.0999999999999996</v>
      </c>
      <c r="D45" s="4"/>
      <c r="E45" s="5" t="str">
        <f t="shared" si="10"/>
        <v/>
      </c>
      <c r="F45" s="5">
        <v>11</v>
      </c>
      <c r="G45" s="5">
        <f t="shared" si="11"/>
        <v>1019.9999999999999</v>
      </c>
      <c r="H45" s="5">
        <f t="shared" si="12"/>
        <v>6.8</v>
      </c>
      <c r="I45" s="5">
        <v>51</v>
      </c>
      <c r="J45" s="5">
        <f t="shared" si="13"/>
        <v>1019.9999999999999</v>
      </c>
      <c r="K45" s="5">
        <f t="shared" si="14"/>
        <v>3.75</v>
      </c>
      <c r="L45" s="5" t="s">
        <v>117</v>
      </c>
      <c r="M45" s="5" t="s">
        <v>115</v>
      </c>
      <c r="N45" s="5">
        <f t="shared" si="15"/>
        <v>1019.9999999999999</v>
      </c>
      <c r="O45" s="5">
        <f t="shared" si="16"/>
        <v>3.75</v>
      </c>
      <c r="P45" s="5"/>
      <c r="Q45" s="5" t="str">
        <f t="shared" si="17"/>
        <v/>
      </c>
      <c r="R45" s="4"/>
      <c r="S45" s="4"/>
      <c r="T45" s="4" t="s">
        <v>118</v>
      </c>
      <c r="U45" s="4" t="s">
        <v>32</v>
      </c>
    </row>
    <row r="46" spans="1:21" ht="30" customHeight="1">
      <c r="A46" s="4">
        <v>42</v>
      </c>
      <c r="B46" s="4" t="s">
        <v>28</v>
      </c>
      <c r="C46" s="5">
        <f t="shared" si="9"/>
        <v>5.2</v>
      </c>
      <c r="D46" s="4"/>
      <c r="E46" s="5" t="str">
        <f t="shared" si="10"/>
        <v/>
      </c>
      <c r="F46" s="5">
        <v>11</v>
      </c>
      <c r="G46" s="5">
        <f t="shared" si="11"/>
        <v>1040</v>
      </c>
      <c r="H46" s="5">
        <f t="shared" si="12"/>
        <v>6.8</v>
      </c>
      <c r="I46" s="5">
        <v>52</v>
      </c>
      <c r="J46" s="5">
        <f t="shared" si="13"/>
        <v>1040</v>
      </c>
      <c r="K46" s="5">
        <f t="shared" si="14"/>
        <v>3.75</v>
      </c>
      <c r="L46" s="5" t="s">
        <v>119</v>
      </c>
      <c r="M46" s="5" t="s">
        <v>120</v>
      </c>
      <c r="N46" s="5">
        <f t="shared" si="15"/>
        <v>1040</v>
      </c>
      <c r="O46" s="5">
        <f t="shared" si="16"/>
        <v>3.75</v>
      </c>
      <c r="P46" s="5"/>
      <c r="Q46" s="5" t="str">
        <f t="shared" si="17"/>
        <v/>
      </c>
      <c r="R46" s="4"/>
      <c r="S46" s="4"/>
      <c r="T46" s="4" t="s">
        <v>121</v>
      </c>
      <c r="U46" s="4" t="s">
        <v>32</v>
      </c>
    </row>
    <row r="47" spans="1:21" ht="30" customHeight="1">
      <c r="A47" s="4">
        <v>43</v>
      </c>
      <c r="B47" s="4" t="s">
        <v>28</v>
      </c>
      <c r="C47" s="5">
        <f t="shared" si="9"/>
        <v>5.3</v>
      </c>
      <c r="D47" s="4"/>
      <c r="E47" s="5" t="str">
        <f t="shared" si="10"/>
        <v/>
      </c>
      <c r="F47" s="5">
        <v>11</v>
      </c>
      <c r="G47" s="5">
        <f t="shared" si="11"/>
        <v>1060</v>
      </c>
      <c r="H47" s="5">
        <f t="shared" si="12"/>
        <v>6.8</v>
      </c>
      <c r="I47" s="5">
        <v>53</v>
      </c>
      <c r="J47" s="5">
        <f t="shared" si="13"/>
        <v>1060</v>
      </c>
      <c r="K47" s="5">
        <f t="shared" si="14"/>
        <v>3.75</v>
      </c>
      <c r="L47" s="5" t="s">
        <v>122</v>
      </c>
      <c r="M47" s="5" t="s">
        <v>120</v>
      </c>
      <c r="N47" s="5">
        <f t="shared" si="15"/>
        <v>1060</v>
      </c>
      <c r="O47" s="5">
        <f t="shared" si="16"/>
        <v>3.75</v>
      </c>
      <c r="P47" s="5"/>
      <c r="Q47" s="5" t="str">
        <f t="shared" si="17"/>
        <v/>
      </c>
      <c r="R47" s="4"/>
      <c r="S47" s="4"/>
      <c r="T47" s="4" t="s">
        <v>123</v>
      </c>
      <c r="U47" s="4" t="s">
        <v>32</v>
      </c>
    </row>
    <row r="48" spans="1:21" ht="30" customHeight="1">
      <c r="A48" s="4">
        <v>44</v>
      </c>
      <c r="B48" s="4" t="s">
        <v>28</v>
      </c>
      <c r="C48" s="5">
        <f t="shared" si="9"/>
        <v>5.4</v>
      </c>
      <c r="D48" s="4"/>
      <c r="E48" s="5" t="str">
        <f t="shared" si="10"/>
        <v/>
      </c>
      <c r="F48" s="5">
        <v>11</v>
      </c>
      <c r="G48" s="5">
        <f t="shared" si="11"/>
        <v>1080</v>
      </c>
      <c r="H48" s="5">
        <f t="shared" si="12"/>
        <v>6.8</v>
      </c>
      <c r="I48" s="5">
        <v>54</v>
      </c>
      <c r="J48" s="5">
        <f t="shared" si="13"/>
        <v>1080</v>
      </c>
      <c r="K48" s="5">
        <f t="shared" si="14"/>
        <v>3.75</v>
      </c>
      <c r="L48" s="5" t="s">
        <v>124</v>
      </c>
      <c r="M48" s="5" t="s">
        <v>120</v>
      </c>
      <c r="N48" s="5">
        <f t="shared" si="15"/>
        <v>1080</v>
      </c>
      <c r="O48" s="5">
        <f t="shared" si="16"/>
        <v>3.75</v>
      </c>
      <c r="P48" s="5"/>
      <c r="Q48" s="5" t="str">
        <f t="shared" si="17"/>
        <v/>
      </c>
      <c r="R48" s="4"/>
      <c r="S48" s="4"/>
      <c r="T48" s="4" t="s">
        <v>125</v>
      </c>
      <c r="U48" s="4" t="s">
        <v>32</v>
      </c>
    </row>
    <row r="49" spans="1:21" ht="30" customHeight="1">
      <c r="A49" s="4">
        <v>45</v>
      </c>
      <c r="B49" s="4" t="s">
        <v>28</v>
      </c>
      <c r="C49" s="5">
        <f t="shared" si="9"/>
        <v>5.5</v>
      </c>
      <c r="D49" s="4"/>
      <c r="E49" s="5" t="str">
        <f t="shared" si="10"/>
        <v/>
      </c>
      <c r="F49" s="5">
        <v>11</v>
      </c>
      <c r="G49" s="5">
        <f t="shared" si="11"/>
        <v>1100</v>
      </c>
      <c r="H49" s="5">
        <f t="shared" si="12"/>
        <v>6.8</v>
      </c>
      <c r="I49" s="5">
        <v>55</v>
      </c>
      <c r="J49" s="5">
        <f t="shared" si="13"/>
        <v>1100</v>
      </c>
      <c r="K49" s="5">
        <f t="shared" si="14"/>
        <v>3.75</v>
      </c>
      <c r="L49" s="5" t="s">
        <v>126</v>
      </c>
      <c r="M49" s="5" t="s">
        <v>127</v>
      </c>
      <c r="N49" s="5">
        <f t="shared" si="15"/>
        <v>1100</v>
      </c>
      <c r="O49" s="5">
        <f t="shared" si="16"/>
        <v>3.75</v>
      </c>
      <c r="P49" s="5"/>
      <c r="Q49" s="5" t="str">
        <f t="shared" si="17"/>
        <v/>
      </c>
      <c r="R49" s="4"/>
      <c r="S49" s="4"/>
      <c r="T49" s="4" t="s">
        <v>128</v>
      </c>
      <c r="U49" s="4" t="s">
        <v>32</v>
      </c>
    </row>
    <row r="50" spans="1:21" ht="30" customHeight="1">
      <c r="A50" s="4">
        <v>46</v>
      </c>
      <c r="B50" s="4" t="s">
        <v>28</v>
      </c>
      <c r="C50" s="5">
        <f t="shared" si="9"/>
        <v>5.6</v>
      </c>
      <c r="D50" s="4"/>
      <c r="E50" s="5" t="str">
        <f t="shared" si="10"/>
        <v/>
      </c>
      <c r="F50" s="5">
        <v>12</v>
      </c>
      <c r="G50" s="5">
        <f t="shared" si="11"/>
        <v>1120</v>
      </c>
      <c r="H50" s="5">
        <f t="shared" si="12"/>
        <v>6.8</v>
      </c>
      <c r="I50" s="5">
        <v>56</v>
      </c>
      <c r="J50" s="5">
        <f t="shared" si="13"/>
        <v>1120</v>
      </c>
      <c r="K50" s="5">
        <f t="shared" si="14"/>
        <v>3.75</v>
      </c>
      <c r="L50" s="5" t="s">
        <v>129</v>
      </c>
      <c r="M50" s="5" t="s">
        <v>127</v>
      </c>
      <c r="N50" s="5">
        <f t="shared" si="15"/>
        <v>1120</v>
      </c>
      <c r="O50" s="5">
        <f t="shared" si="16"/>
        <v>3.75</v>
      </c>
      <c r="P50" s="5"/>
      <c r="Q50" s="5" t="str">
        <f t="shared" si="17"/>
        <v/>
      </c>
      <c r="R50" s="4"/>
      <c r="S50" s="4"/>
      <c r="T50" s="4" t="s">
        <v>130</v>
      </c>
      <c r="U50" s="4" t="s">
        <v>32</v>
      </c>
    </row>
    <row r="51" spans="1:21" ht="30" customHeight="1">
      <c r="A51" s="4">
        <v>47</v>
      </c>
      <c r="B51" s="4" t="s">
        <v>28</v>
      </c>
      <c r="C51" s="5">
        <f t="shared" si="9"/>
        <v>5.7</v>
      </c>
      <c r="D51" s="4"/>
      <c r="E51" s="5" t="str">
        <f t="shared" si="10"/>
        <v/>
      </c>
      <c r="F51" s="5">
        <v>12</v>
      </c>
      <c r="G51" s="5">
        <f t="shared" si="11"/>
        <v>1140</v>
      </c>
      <c r="H51" s="5">
        <f t="shared" si="12"/>
        <v>6.8</v>
      </c>
      <c r="I51" s="5">
        <v>57</v>
      </c>
      <c r="J51" s="5">
        <f t="shared" si="13"/>
        <v>1140</v>
      </c>
      <c r="K51" s="5">
        <f t="shared" si="14"/>
        <v>3.75</v>
      </c>
      <c r="L51" s="5" t="s">
        <v>131</v>
      </c>
      <c r="M51" s="5" t="s">
        <v>127</v>
      </c>
      <c r="N51" s="5">
        <f t="shared" si="15"/>
        <v>1140</v>
      </c>
      <c r="O51" s="5">
        <f t="shared" si="16"/>
        <v>3.75</v>
      </c>
      <c r="P51" s="5"/>
      <c r="Q51" s="5" t="str">
        <f t="shared" si="17"/>
        <v/>
      </c>
      <c r="R51" s="4"/>
      <c r="S51" s="4"/>
      <c r="T51" s="4" t="s">
        <v>132</v>
      </c>
      <c r="U51" s="4" t="s">
        <v>32</v>
      </c>
    </row>
    <row r="52" spans="1:21" ht="30" customHeight="1">
      <c r="A52" s="4">
        <v>48</v>
      </c>
      <c r="B52" s="4" t="s">
        <v>40</v>
      </c>
      <c r="C52" s="5">
        <f t="shared" si="9"/>
        <v>5.8</v>
      </c>
      <c r="D52" s="4"/>
      <c r="E52" s="5" t="str">
        <f t="shared" si="10"/>
        <v/>
      </c>
      <c r="F52" s="5"/>
      <c r="G52" s="5" t="str">
        <f t="shared" si="11"/>
        <v/>
      </c>
      <c r="H52" s="5" t="str">
        <f t="shared" si="12"/>
        <v/>
      </c>
      <c r="I52" s="5"/>
      <c r="J52" s="5" t="str">
        <f t="shared" si="13"/>
        <v/>
      </c>
      <c r="K52" s="5" t="str">
        <f t="shared" si="14"/>
        <v/>
      </c>
      <c r="L52" s="5"/>
      <c r="M52" s="5"/>
      <c r="N52" s="5" t="str">
        <f t="shared" si="15"/>
        <v/>
      </c>
      <c r="O52" s="5" t="str">
        <f t="shared" si="16"/>
        <v/>
      </c>
      <c r="P52" s="5">
        <v>5</v>
      </c>
      <c r="Q52" s="5">
        <f t="shared" si="17"/>
        <v>11600</v>
      </c>
      <c r="R52" s="4">
        <v>2.5</v>
      </c>
      <c r="S52" s="4" t="s">
        <v>133</v>
      </c>
      <c r="T52" s="4" t="s">
        <v>134</v>
      </c>
      <c r="U52" s="4" t="s">
        <v>43</v>
      </c>
    </row>
    <row r="53" spans="1:21" ht="30" customHeight="1">
      <c r="A53" s="4">
        <v>49</v>
      </c>
      <c r="B53" s="4" t="s">
        <v>28</v>
      </c>
      <c r="C53" s="5">
        <f t="shared" si="9"/>
        <v>5.9</v>
      </c>
      <c r="D53" s="4"/>
      <c r="E53" s="5" t="str">
        <f t="shared" si="10"/>
        <v/>
      </c>
      <c r="F53" s="5">
        <v>12</v>
      </c>
      <c r="G53" s="5">
        <f t="shared" si="11"/>
        <v>1180</v>
      </c>
      <c r="H53" s="5">
        <f t="shared" si="12"/>
        <v>6.8</v>
      </c>
      <c r="I53" s="5">
        <v>59</v>
      </c>
      <c r="J53" s="5">
        <f t="shared" si="13"/>
        <v>1180</v>
      </c>
      <c r="K53" s="5">
        <f t="shared" si="14"/>
        <v>3.75</v>
      </c>
      <c r="L53" s="5" t="s">
        <v>135</v>
      </c>
      <c r="M53" s="5" t="s">
        <v>136</v>
      </c>
      <c r="N53" s="5">
        <f t="shared" si="15"/>
        <v>1180</v>
      </c>
      <c r="O53" s="5">
        <f t="shared" si="16"/>
        <v>3.75</v>
      </c>
      <c r="P53" s="5"/>
      <c r="Q53" s="5" t="str">
        <f t="shared" si="17"/>
        <v/>
      </c>
      <c r="R53" s="4"/>
      <c r="S53" s="4"/>
      <c r="T53" s="4" t="s">
        <v>137</v>
      </c>
      <c r="U53" s="4" t="s">
        <v>32</v>
      </c>
    </row>
    <row r="54" spans="1:21" ht="30" customHeight="1">
      <c r="A54" s="4">
        <v>50</v>
      </c>
      <c r="B54" s="4" t="s">
        <v>28</v>
      </c>
      <c r="C54" s="5">
        <f t="shared" si="9"/>
        <v>6</v>
      </c>
      <c r="D54" s="4"/>
      <c r="E54" s="5" t="str">
        <f t="shared" si="10"/>
        <v/>
      </c>
      <c r="F54" s="5">
        <v>12</v>
      </c>
      <c r="G54" s="5">
        <f t="shared" si="11"/>
        <v>1200</v>
      </c>
      <c r="H54" s="5">
        <f t="shared" si="12"/>
        <v>6.8</v>
      </c>
      <c r="I54" s="5">
        <v>60</v>
      </c>
      <c r="J54" s="5">
        <f t="shared" si="13"/>
        <v>1200</v>
      </c>
      <c r="K54" s="5">
        <f t="shared" si="14"/>
        <v>3.75</v>
      </c>
      <c r="L54" s="5" t="s">
        <v>138</v>
      </c>
      <c r="M54" s="5" t="s">
        <v>136</v>
      </c>
      <c r="N54" s="5">
        <f t="shared" si="15"/>
        <v>1200</v>
      </c>
      <c r="O54" s="5">
        <f t="shared" si="16"/>
        <v>3.75</v>
      </c>
      <c r="P54" s="5"/>
      <c r="Q54" s="5" t="str">
        <f t="shared" si="17"/>
        <v/>
      </c>
      <c r="R54" s="4"/>
      <c r="S54" s="4"/>
      <c r="T54" s="4" t="s">
        <v>139</v>
      </c>
      <c r="U54" s="4" t="s">
        <v>32</v>
      </c>
    </row>
    <row r="55" spans="1:21" ht="30" customHeight="1">
      <c r="A55" s="4">
        <v>51</v>
      </c>
      <c r="B55" s="4" t="s">
        <v>28</v>
      </c>
      <c r="C55" s="5">
        <f t="shared" si="9"/>
        <v>6.1</v>
      </c>
      <c r="D55" s="4"/>
      <c r="E55" s="5" t="str">
        <f t="shared" si="10"/>
        <v/>
      </c>
      <c r="F55" s="5">
        <v>13</v>
      </c>
      <c r="G55" s="5">
        <f t="shared" si="11"/>
        <v>1220</v>
      </c>
      <c r="H55" s="5">
        <f t="shared" si="12"/>
        <v>6.8</v>
      </c>
      <c r="I55" s="5">
        <v>61</v>
      </c>
      <c r="J55" s="5">
        <f t="shared" si="13"/>
        <v>1220</v>
      </c>
      <c r="K55" s="5">
        <f t="shared" si="14"/>
        <v>3.75</v>
      </c>
      <c r="L55" s="5" t="s">
        <v>140</v>
      </c>
      <c r="M55" s="5" t="s">
        <v>141</v>
      </c>
      <c r="N55" s="5">
        <f t="shared" si="15"/>
        <v>1220</v>
      </c>
      <c r="O55" s="5">
        <f t="shared" si="16"/>
        <v>3.75</v>
      </c>
      <c r="P55" s="5"/>
      <c r="Q55" s="5" t="str">
        <f t="shared" si="17"/>
        <v/>
      </c>
      <c r="R55" s="4"/>
      <c r="S55" s="4"/>
      <c r="T55" s="4" t="s">
        <v>142</v>
      </c>
      <c r="U55" s="4" t="s">
        <v>32</v>
      </c>
    </row>
    <row r="56" spans="1:21" ht="30" customHeight="1">
      <c r="A56" s="4">
        <v>52</v>
      </c>
      <c r="B56" s="4" t="s">
        <v>28</v>
      </c>
      <c r="C56" s="5">
        <f t="shared" si="9"/>
        <v>6.2</v>
      </c>
      <c r="D56" s="4"/>
      <c r="E56" s="5" t="str">
        <f t="shared" si="10"/>
        <v/>
      </c>
      <c r="F56" s="5">
        <v>13</v>
      </c>
      <c r="G56" s="5">
        <f t="shared" si="11"/>
        <v>1240</v>
      </c>
      <c r="H56" s="5">
        <f t="shared" si="12"/>
        <v>6.8</v>
      </c>
      <c r="I56" s="5">
        <v>62</v>
      </c>
      <c r="J56" s="5">
        <f t="shared" si="13"/>
        <v>1240</v>
      </c>
      <c r="K56" s="5">
        <f t="shared" si="14"/>
        <v>3.75</v>
      </c>
      <c r="L56" s="5" t="s">
        <v>143</v>
      </c>
      <c r="M56" s="5" t="s">
        <v>141</v>
      </c>
      <c r="N56" s="5">
        <f t="shared" si="15"/>
        <v>1240</v>
      </c>
      <c r="O56" s="5">
        <f t="shared" si="16"/>
        <v>3.75</v>
      </c>
      <c r="P56" s="5"/>
      <c r="Q56" s="5" t="str">
        <f t="shared" si="17"/>
        <v/>
      </c>
      <c r="R56" s="4"/>
      <c r="S56" s="4"/>
      <c r="T56" s="4" t="s">
        <v>144</v>
      </c>
      <c r="U56" s="4" t="s">
        <v>32</v>
      </c>
    </row>
    <row r="57" spans="1:21" ht="30" customHeight="1">
      <c r="A57" s="4">
        <v>53</v>
      </c>
      <c r="B57" s="4" t="s">
        <v>28</v>
      </c>
      <c r="C57" s="5">
        <f t="shared" si="9"/>
        <v>6.3</v>
      </c>
      <c r="D57" s="4"/>
      <c r="E57" s="5" t="str">
        <f t="shared" si="10"/>
        <v/>
      </c>
      <c r="F57" s="5">
        <v>13</v>
      </c>
      <c r="G57" s="5">
        <f t="shared" si="11"/>
        <v>1260</v>
      </c>
      <c r="H57" s="5">
        <f t="shared" si="12"/>
        <v>6.8</v>
      </c>
      <c r="I57" s="5">
        <v>63</v>
      </c>
      <c r="J57" s="5">
        <f t="shared" si="13"/>
        <v>1260</v>
      </c>
      <c r="K57" s="5">
        <f t="shared" si="14"/>
        <v>3.75</v>
      </c>
      <c r="L57" s="5" t="s">
        <v>145</v>
      </c>
      <c r="M57" s="5" t="s">
        <v>141</v>
      </c>
      <c r="N57" s="5">
        <f t="shared" si="15"/>
        <v>1260</v>
      </c>
      <c r="O57" s="5">
        <f t="shared" si="16"/>
        <v>3.75</v>
      </c>
      <c r="P57" s="5"/>
      <c r="Q57" s="5" t="str">
        <f t="shared" si="17"/>
        <v/>
      </c>
      <c r="R57" s="4"/>
      <c r="S57" s="4"/>
      <c r="T57" s="4" t="s">
        <v>146</v>
      </c>
      <c r="U57" s="4" t="s">
        <v>32</v>
      </c>
    </row>
    <row r="58" spans="1:21" ht="30" customHeight="1">
      <c r="A58" s="4">
        <v>54</v>
      </c>
      <c r="B58" s="4" t="s">
        <v>28</v>
      </c>
      <c r="C58" s="5">
        <f t="shared" si="9"/>
        <v>6.4</v>
      </c>
      <c r="D58" s="4"/>
      <c r="E58" s="5" t="str">
        <f t="shared" si="10"/>
        <v/>
      </c>
      <c r="F58" s="5">
        <v>13</v>
      </c>
      <c r="G58" s="5">
        <f t="shared" si="11"/>
        <v>1280</v>
      </c>
      <c r="H58" s="5">
        <f t="shared" si="12"/>
        <v>6.8</v>
      </c>
      <c r="I58" s="5">
        <v>64</v>
      </c>
      <c r="J58" s="5">
        <f t="shared" si="13"/>
        <v>1280</v>
      </c>
      <c r="K58" s="5">
        <f t="shared" si="14"/>
        <v>3.75</v>
      </c>
      <c r="L58" s="5" t="s">
        <v>147</v>
      </c>
      <c r="M58" s="5" t="s">
        <v>148</v>
      </c>
      <c r="N58" s="5">
        <f t="shared" si="15"/>
        <v>1280</v>
      </c>
      <c r="O58" s="5">
        <f t="shared" si="16"/>
        <v>3.75</v>
      </c>
      <c r="P58" s="5"/>
      <c r="Q58" s="5" t="str">
        <f t="shared" si="17"/>
        <v/>
      </c>
      <c r="R58" s="4"/>
      <c r="S58" s="4"/>
      <c r="T58" s="4" t="s">
        <v>149</v>
      </c>
      <c r="U58" s="4" t="s">
        <v>32</v>
      </c>
    </row>
    <row r="59" spans="1:21" ht="30" customHeight="1">
      <c r="A59" s="4">
        <v>55</v>
      </c>
      <c r="B59" s="4" t="s">
        <v>28</v>
      </c>
      <c r="C59" s="5">
        <f t="shared" si="9"/>
        <v>6.5</v>
      </c>
      <c r="D59" s="4"/>
      <c r="E59" s="5" t="str">
        <f t="shared" si="10"/>
        <v/>
      </c>
      <c r="F59" s="5">
        <v>13</v>
      </c>
      <c r="G59" s="5">
        <f t="shared" si="11"/>
        <v>1300</v>
      </c>
      <c r="H59" s="5">
        <f t="shared" si="12"/>
        <v>6.8</v>
      </c>
      <c r="I59" s="5">
        <v>65</v>
      </c>
      <c r="J59" s="5">
        <f t="shared" si="13"/>
        <v>1300</v>
      </c>
      <c r="K59" s="5">
        <f t="shared" si="14"/>
        <v>3.75</v>
      </c>
      <c r="L59" s="5" t="s">
        <v>150</v>
      </c>
      <c r="M59" s="5" t="s">
        <v>148</v>
      </c>
      <c r="N59" s="5">
        <f t="shared" si="15"/>
        <v>1300</v>
      </c>
      <c r="O59" s="5">
        <f t="shared" si="16"/>
        <v>3.75</v>
      </c>
      <c r="P59" s="5"/>
      <c r="Q59" s="5" t="str">
        <f t="shared" si="17"/>
        <v/>
      </c>
      <c r="R59" s="4"/>
      <c r="S59" s="4"/>
      <c r="T59" s="4" t="s">
        <v>151</v>
      </c>
      <c r="U59" s="4" t="s">
        <v>32</v>
      </c>
    </row>
    <row r="60" spans="1:21" ht="30" customHeight="1">
      <c r="A60" s="4">
        <v>56</v>
      </c>
      <c r="B60" s="4" t="s">
        <v>40</v>
      </c>
      <c r="C60" s="5">
        <f t="shared" si="9"/>
        <v>6.6</v>
      </c>
      <c r="D60" s="4"/>
      <c r="E60" s="5" t="str">
        <f t="shared" si="10"/>
        <v/>
      </c>
      <c r="F60" s="5"/>
      <c r="G60" s="5" t="str">
        <f t="shared" si="11"/>
        <v/>
      </c>
      <c r="H60" s="5" t="str">
        <f t="shared" si="12"/>
        <v/>
      </c>
      <c r="I60" s="5"/>
      <c r="J60" s="5" t="str">
        <f t="shared" si="13"/>
        <v/>
      </c>
      <c r="K60" s="5" t="str">
        <f t="shared" si="14"/>
        <v/>
      </c>
      <c r="L60" s="5"/>
      <c r="M60" s="5"/>
      <c r="N60" s="5" t="str">
        <f t="shared" si="15"/>
        <v/>
      </c>
      <c r="O60" s="5" t="str">
        <f t="shared" si="16"/>
        <v/>
      </c>
      <c r="P60" s="5">
        <v>6</v>
      </c>
      <c r="Q60" s="5">
        <f t="shared" si="17"/>
        <v>13200</v>
      </c>
      <c r="R60" s="4">
        <v>2.5</v>
      </c>
      <c r="S60" s="4" t="s">
        <v>152</v>
      </c>
      <c r="T60" s="4" t="s">
        <v>153</v>
      </c>
      <c r="U60" s="4" t="s">
        <v>43</v>
      </c>
    </row>
    <row r="61" spans="1:21" ht="30" customHeight="1">
      <c r="A61" s="4">
        <v>57</v>
      </c>
      <c r="B61" s="4" t="s">
        <v>28</v>
      </c>
      <c r="C61" s="5">
        <f t="shared" si="9"/>
        <v>6.7</v>
      </c>
      <c r="D61" s="4"/>
      <c r="E61" s="5" t="str">
        <f t="shared" si="10"/>
        <v/>
      </c>
      <c r="F61" s="5">
        <v>14</v>
      </c>
      <c r="G61" s="5">
        <f t="shared" si="11"/>
        <v>1340</v>
      </c>
      <c r="H61" s="5">
        <f t="shared" si="12"/>
        <v>6.8</v>
      </c>
      <c r="I61" s="5">
        <v>67</v>
      </c>
      <c r="J61" s="5">
        <f t="shared" si="13"/>
        <v>1340</v>
      </c>
      <c r="K61" s="5">
        <f t="shared" si="14"/>
        <v>3.75</v>
      </c>
      <c r="L61" s="5" t="s">
        <v>154</v>
      </c>
      <c r="M61" s="5" t="s">
        <v>155</v>
      </c>
      <c r="N61" s="5">
        <f t="shared" si="15"/>
        <v>1340</v>
      </c>
      <c r="O61" s="5">
        <f t="shared" si="16"/>
        <v>3.75</v>
      </c>
      <c r="P61" s="5"/>
      <c r="Q61" s="5" t="str">
        <f t="shared" si="17"/>
        <v/>
      </c>
      <c r="R61" s="4"/>
      <c r="S61" s="4"/>
      <c r="T61" s="4" t="s">
        <v>156</v>
      </c>
      <c r="U61" s="4" t="s">
        <v>32</v>
      </c>
    </row>
    <row r="62" spans="1:21" ht="30" customHeight="1">
      <c r="A62" s="4">
        <v>58</v>
      </c>
      <c r="B62" s="4" t="s">
        <v>28</v>
      </c>
      <c r="C62" s="5">
        <f t="shared" si="9"/>
        <v>6.8</v>
      </c>
      <c r="D62" s="4"/>
      <c r="E62" s="5" t="str">
        <f t="shared" si="10"/>
        <v/>
      </c>
      <c r="F62" s="5">
        <v>14</v>
      </c>
      <c r="G62" s="5">
        <f t="shared" si="11"/>
        <v>1360</v>
      </c>
      <c r="H62" s="5">
        <f t="shared" si="12"/>
        <v>6.8</v>
      </c>
      <c r="I62" s="5">
        <v>68</v>
      </c>
      <c r="J62" s="5">
        <f t="shared" si="13"/>
        <v>1360</v>
      </c>
      <c r="K62" s="5">
        <f t="shared" si="14"/>
        <v>3.75</v>
      </c>
      <c r="L62" s="5" t="s">
        <v>157</v>
      </c>
      <c r="M62" s="5" t="s">
        <v>155</v>
      </c>
      <c r="N62" s="5">
        <f t="shared" si="15"/>
        <v>1360</v>
      </c>
      <c r="O62" s="5">
        <f t="shared" si="16"/>
        <v>3.75</v>
      </c>
      <c r="P62" s="5"/>
      <c r="Q62" s="5" t="str">
        <f t="shared" si="17"/>
        <v/>
      </c>
      <c r="R62" s="4"/>
      <c r="S62" s="4"/>
      <c r="T62" s="4" t="s">
        <v>158</v>
      </c>
      <c r="U62" s="4" t="s">
        <v>32</v>
      </c>
    </row>
    <row r="63" spans="1:21" ht="30" customHeight="1">
      <c r="A63" s="4">
        <v>59</v>
      </c>
      <c r="B63" s="4" t="s">
        <v>28</v>
      </c>
      <c r="C63" s="5">
        <f t="shared" si="9"/>
        <v>6.9</v>
      </c>
      <c r="D63" s="4"/>
      <c r="E63" s="5" t="str">
        <f t="shared" si="10"/>
        <v/>
      </c>
      <c r="F63" s="5">
        <v>14</v>
      </c>
      <c r="G63" s="5">
        <f t="shared" si="11"/>
        <v>1380</v>
      </c>
      <c r="H63" s="5">
        <f t="shared" si="12"/>
        <v>6.8</v>
      </c>
      <c r="I63" s="5">
        <v>69</v>
      </c>
      <c r="J63" s="5">
        <f t="shared" si="13"/>
        <v>1380</v>
      </c>
      <c r="K63" s="5">
        <f t="shared" si="14"/>
        <v>3.75</v>
      </c>
      <c r="L63" s="5" t="s">
        <v>159</v>
      </c>
      <c r="M63" s="5" t="s">
        <v>155</v>
      </c>
      <c r="N63" s="5">
        <f t="shared" si="15"/>
        <v>1380</v>
      </c>
      <c r="O63" s="5">
        <f t="shared" si="16"/>
        <v>3.75</v>
      </c>
      <c r="P63" s="5"/>
      <c r="Q63" s="5" t="str">
        <f t="shared" si="17"/>
        <v/>
      </c>
      <c r="R63" s="4"/>
      <c r="S63" s="4"/>
      <c r="T63" s="4" t="s">
        <v>160</v>
      </c>
      <c r="U63" s="4" t="s">
        <v>32</v>
      </c>
    </row>
    <row r="64" spans="1:21" ht="30" customHeight="1">
      <c r="A64" s="4">
        <v>60</v>
      </c>
      <c r="B64" s="4" t="s">
        <v>28</v>
      </c>
      <c r="C64" s="5">
        <f t="shared" si="9"/>
        <v>7</v>
      </c>
      <c r="D64" s="4"/>
      <c r="E64" s="5" t="str">
        <f t="shared" si="10"/>
        <v/>
      </c>
      <c r="F64" s="5">
        <v>14</v>
      </c>
      <c r="G64" s="5">
        <f t="shared" si="11"/>
        <v>1400</v>
      </c>
      <c r="H64" s="5">
        <f t="shared" si="12"/>
        <v>6.8</v>
      </c>
      <c r="I64" s="5">
        <v>70</v>
      </c>
      <c r="J64" s="5">
        <f t="shared" si="13"/>
        <v>1400</v>
      </c>
      <c r="K64" s="5">
        <f t="shared" si="14"/>
        <v>3.75</v>
      </c>
      <c r="L64" s="5" t="s">
        <v>161</v>
      </c>
      <c r="M64" s="5" t="s">
        <v>162</v>
      </c>
      <c r="N64" s="5">
        <f t="shared" si="15"/>
        <v>1400</v>
      </c>
      <c r="O64" s="5">
        <f t="shared" si="16"/>
        <v>3.75</v>
      </c>
      <c r="P64" s="5"/>
      <c r="Q64" s="5" t="str">
        <f t="shared" si="17"/>
        <v/>
      </c>
      <c r="R64" s="4"/>
      <c r="S64" s="4"/>
      <c r="T64" s="4" t="s">
        <v>163</v>
      </c>
      <c r="U64" s="4" t="s">
        <v>32</v>
      </c>
    </row>
    <row r="65" spans="1:21" ht="30" customHeight="1">
      <c r="A65" s="4">
        <v>61</v>
      </c>
      <c r="B65" s="4" t="s">
        <v>28</v>
      </c>
      <c r="C65" s="5">
        <f t="shared" si="9"/>
        <v>7.1</v>
      </c>
      <c r="D65" s="4"/>
      <c r="E65" s="5" t="str">
        <f t="shared" si="10"/>
        <v/>
      </c>
      <c r="F65" s="5">
        <v>15</v>
      </c>
      <c r="G65" s="5">
        <f t="shared" si="11"/>
        <v>1420</v>
      </c>
      <c r="H65" s="5">
        <f t="shared" si="12"/>
        <v>6.8</v>
      </c>
      <c r="I65" s="5">
        <v>71</v>
      </c>
      <c r="J65" s="5">
        <f t="shared" si="13"/>
        <v>1420</v>
      </c>
      <c r="K65" s="5">
        <f t="shared" si="14"/>
        <v>3.75</v>
      </c>
      <c r="L65" s="5" t="s">
        <v>164</v>
      </c>
      <c r="M65" s="5" t="s">
        <v>162</v>
      </c>
      <c r="N65" s="5">
        <f t="shared" si="15"/>
        <v>1420</v>
      </c>
      <c r="O65" s="5">
        <f t="shared" si="16"/>
        <v>3.75</v>
      </c>
      <c r="P65" s="5"/>
      <c r="Q65" s="5" t="str">
        <f t="shared" si="17"/>
        <v/>
      </c>
      <c r="R65" s="4"/>
      <c r="S65" s="4"/>
      <c r="T65" s="4" t="s">
        <v>165</v>
      </c>
      <c r="U65" s="4" t="s">
        <v>32</v>
      </c>
    </row>
    <row r="66" spans="1:21" ht="30" customHeight="1">
      <c r="A66" s="4">
        <v>62</v>
      </c>
      <c r="B66" s="4" t="s">
        <v>28</v>
      </c>
      <c r="C66" s="5">
        <f t="shared" si="9"/>
        <v>7.2</v>
      </c>
      <c r="D66" s="4"/>
      <c r="E66" s="5" t="str">
        <f t="shared" si="10"/>
        <v/>
      </c>
      <c r="F66" s="5">
        <v>15</v>
      </c>
      <c r="G66" s="5">
        <f t="shared" si="11"/>
        <v>1440</v>
      </c>
      <c r="H66" s="5">
        <f t="shared" si="12"/>
        <v>6.8</v>
      </c>
      <c r="I66" s="5">
        <v>72</v>
      </c>
      <c r="J66" s="5">
        <f t="shared" si="13"/>
        <v>1440</v>
      </c>
      <c r="K66" s="5">
        <f t="shared" si="14"/>
        <v>3.75</v>
      </c>
      <c r="L66" s="5" t="s">
        <v>166</v>
      </c>
      <c r="M66" s="5" t="s">
        <v>162</v>
      </c>
      <c r="N66" s="5">
        <f t="shared" si="15"/>
        <v>1440</v>
      </c>
      <c r="O66" s="5">
        <f t="shared" si="16"/>
        <v>3.75</v>
      </c>
      <c r="P66" s="5"/>
      <c r="Q66" s="5" t="str">
        <f t="shared" si="17"/>
        <v/>
      </c>
      <c r="R66" s="4"/>
      <c r="S66" s="4"/>
      <c r="T66" s="4" t="s">
        <v>167</v>
      </c>
      <c r="U66" s="4" t="s">
        <v>32</v>
      </c>
    </row>
    <row r="67" spans="1:21" ht="30" customHeight="1">
      <c r="A67" s="4">
        <v>63</v>
      </c>
      <c r="B67" s="4" t="s">
        <v>28</v>
      </c>
      <c r="C67" s="5">
        <f t="shared" si="9"/>
        <v>7.3</v>
      </c>
      <c r="D67" s="4"/>
      <c r="E67" s="5" t="str">
        <f t="shared" si="10"/>
        <v/>
      </c>
      <c r="F67" s="5">
        <v>15</v>
      </c>
      <c r="G67" s="5">
        <f t="shared" si="11"/>
        <v>1460</v>
      </c>
      <c r="H67" s="5">
        <f t="shared" si="12"/>
        <v>6.8</v>
      </c>
      <c r="I67" s="5">
        <v>73</v>
      </c>
      <c r="J67" s="5">
        <f t="shared" si="13"/>
        <v>1460</v>
      </c>
      <c r="K67" s="5">
        <f t="shared" si="14"/>
        <v>3.75</v>
      </c>
      <c r="L67" s="5" t="s">
        <v>168</v>
      </c>
      <c r="M67" s="5" t="s">
        <v>169</v>
      </c>
      <c r="N67" s="5">
        <f t="shared" si="15"/>
        <v>1460</v>
      </c>
      <c r="O67" s="5">
        <f t="shared" si="16"/>
        <v>3.75</v>
      </c>
      <c r="P67" s="5"/>
      <c r="Q67" s="5" t="str">
        <f t="shared" si="17"/>
        <v/>
      </c>
      <c r="R67" s="4"/>
      <c r="S67" s="4"/>
      <c r="T67" s="4" t="s">
        <v>170</v>
      </c>
      <c r="U67" s="4" t="s">
        <v>32</v>
      </c>
    </row>
    <row r="68" spans="1:21" ht="30" customHeight="1">
      <c r="A68" s="4">
        <v>64</v>
      </c>
      <c r="B68" s="4" t="s">
        <v>40</v>
      </c>
      <c r="C68" s="5">
        <f t="shared" si="9"/>
        <v>7.4</v>
      </c>
      <c r="D68" s="4"/>
      <c r="E68" s="5" t="str">
        <f t="shared" si="10"/>
        <v/>
      </c>
      <c r="F68" s="5"/>
      <c r="G68" s="5" t="str">
        <f t="shared" si="11"/>
        <v/>
      </c>
      <c r="H68" s="5" t="str">
        <f t="shared" si="12"/>
        <v/>
      </c>
      <c r="I68" s="5"/>
      <c r="J68" s="5" t="str">
        <f t="shared" si="13"/>
        <v/>
      </c>
      <c r="K68" s="5" t="str">
        <f t="shared" si="14"/>
        <v/>
      </c>
      <c r="L68" s="5"/>
      <c r="M68" s="5"/>
      <c r="N68" s="5" t="str">
        <f t="shared" si="15"/>
        <v/>
      </c>
      <c r="O68" s="5" t="str">
        <f t="shared" si="16"/>
        <v/>
      </c>
      <c r="P68" s="5">
        <v>7</v>
      </c>
      <c r="Q68" s="5">
        <f t="shared" si="17"/>
        <v>14800</v>
      </c>
      <c r="R68" s="4">
        <v>2.5</v>
      </c>
      <c r="S68" s="4" t="s">
        <v>171</v>
      </c>
      <c r="T68" s="4" t="s">
        <v>172</v>
      </c>
      <c r="U68" s="4" t="s">
        <v>43</v>
      </c>
    </row>
    <row r="69" spans="1:21" ht="30" customHeight="1">
      <c r="A69" s="4">
        <v>65</v>
      </c>
      <c r="B69" s="4" t="s">
        <v>28</v>
      </c>
      <c r="C69" s="5">
        <f t="shared" ref="C69:C100" si="18">1+A69/10</f>
        <v>7.5</v>
      </c>
      <c r="D69" s="4"/>
      <c r="E69" s="5" t="str">
        <f t="shared" ref="E69:E100" si="19">IF(D69&lt;&gt;"",50*C69,"")</f>
        <v/>
      </c>
      <c r="F69" s="5">
        <v>15</v>
      </c>
      <c r="G69" s="5">
        <f t="shared" ref="G69:G100" si="20">IF(F69&lt;&gt;"",200*C69,"")</f>
        <v>1500</v>
      </c>
      <c r="H69" s="5">
        <f t="shared" ref="H69:H100" si="21">IF(F69&lt;&gt;"",MIN(4*(1+A69/30),4*1.7),"")</f>
        <v>6.8</v>
      </c>
      <c r="I69" s="5">
        <v>75</v>
      </c>
      <c r="J69" s="5">
        <f t="shared" ref="J69:J100" si="22">IF(I69&lt;&gt;"",200*C69,"")</f>
        <v>1500</v>
      </c>
      <c r="K69" s="5">
        <f t="shared" ref="K69:K100" si="23">IF(I69&lt;&gt;"",2.5*MIN(1+A69/30,1.5),"")</f>
        <v>3.75</v>
      </c>
      <c r="L69" s="5" t="s">
        <v>173</v>
      </c>
      <c r="M69" s="5" t="s">
        <v>169</v>
      </c>
      <c r="N69" s="5">
        <f t="shared" ref="N69:N100" si="24">IF(M69&lt;&gt;"",200*C69,"")</f>
        <v>1500</v>
      </c>
      <c r="O69" s="5">
        <f t="shared" ref="O69:O100" si="25">IF(M69&lt;&gt;"",2.5*MIN(1+A69/30,1.5),"")</f>
        <v>3.75</v>
      </c>
      <c r="P69" s="5"/>
      <c r="Q69" s="5" t="str">
        <f t="shared" ref="Q69:Q100" si="26">IF(P69&lt;&gt;"",2000*C69,"")</f>
        <v/>
      </c>
      <c r="R69" s="4"/>
      <c r="S69" s="4"/>
      <c r="T69" s="4" t="s">
        <v>174</v>
      </c>
      <c r="U69" s="4" t="s">
        <v>32</v>
      </c>
    </row>
    <row r="70" spans="1:21" ht="30" customHeight="1">
      <c r="A70" s="4">
        <v>66</v>
      </c>
      <c r="B70" s="4" t="s">
        <v>28</v>
      </c>
      <c r="C70" s="5">
        <f t="shared" si="18"/>
        <v>7.6</v>
      </c>
      <c r="D70" s="4"/>
      <c r="E70" s="5" t="str">
        <f t="shared" si="19"/>
        <v/>
      </c>
      <c r="F70" s="5">
        <v>16</v>
      </c>
      <c r="G70" s="5">
        <f t="shared" si="20"/>
        <v>1520</v>
      </c>
      <c r="H70" s="5">
        <f t="shared" si="21"/>
        <v>6.8</v>
      </c>
      <c r="I70" s="5">
        <v>76</v>
      </c>
      <c r="J70" s="5">
        <f t="shared" si="22"/>
        <v>1520</v>
      </c>
      <c r="K70" s="5">
        <f t="shared" si="23"/>
        <v>3.75</v>
      </c>
      <c r="L70" s="5" t="s">
        <v>175</v>
      </c>
      <c r="M70" s="5" t="s">
        <v>176</v>
      </c>
      <c r="N70" s="5">
        <f t="shared" si="24"/>
        <v>1520</v>
      </c>
      <c r="O70" s="5">
        <f t="shared" si="25"/>
        <v>3.75</v>
      </c>
      <c r="P70" s="5"/>
      <c r="Q70" s="5" t="str">
        <f t="shared" si="26"/>
        <v/>
      </c>
      <c r="R70" s="4"/>
      <c r="S70" s="4"/>
      <c r="T70" s="4" t="s">
        <v>177</v>
      </c>
      <c r="U70" s="4" t="s">
        <v>32</v>
      </c>
    </row>
    <row r="71" spans="1:21" ht="30" customHeight="1">
      <c r="A71" s="4">
        <v>67</v>
      </c>
      <c r="B71" s="4" t="s">
        <v>28</v>
      </c>
      <c r="C71" s="5">
        <f t="shared" si="18"/>
        <v>7.7</v>
      </c>
      <c r="D71" s="4"/>
      <c r="E71" s="5" t="str">
        <f t="shared" si="19"/>
        <v/>
      </c>
      <c r="F71" s="5">
        <v>16</v>
      </c>
      <c r="G71" s="5">
        <f t="shared" si="20"/>
        <v>1540</v>
      </c>
      <c r="H71" s="5">
        <f t="shared" si="21"/>
        <v>6.8</v>
      </c>
      <c r="I71" s="5">
        <v>77</v>
      </c>
      <c r="J71" s="5">
        <f t="shared" si="22"/>
        <v>1540</v>
      </c>
      <c r="K71" s="5">
        <f t="shared" si="23"/>
        <v>3.75</v>
      </c>
      <c r="L71" s="5" t="s">
        <v>178</v>
      </c>
      <c r="M71" s="5" t="s">
        <v>176</v>
      </c>
      <c r="N71" s="5">
        <f t="shared" si="24"/>
        <v>1540</v>
      </c>
      <c r="O71" s="5">
        <f t="shared" si="25"/>
        <v>3.75</v>
      </c>
      <c r="P71" s="5"/>
      <c r="Q71" s="5" t="str">
        <f t="shared" si="26"/>
        <v/>
      </c>
      <c r="R71" s="4"/>
      <c r="S71" s="4"/>
      <c r="T71" s="4" t="s">
        <v>179</v>
      </c>
      <c r="U71" s="4" t="s">
        <v>32</v>
      </c>
    </row>
    <row r="72" spans="1:21" ht="30" customHeight="1">
      <c r="A72" s="4">
        <v>68</v>
      </c>
      <c r="B72" s="4" t="s">
        <v>28</v>
      </c>
      <c r="C72" s="5">
        <f t="shared" si="18"/>
        <v>7.8</v>
      </c>
      <c r="D72" s="4"/>
      <c r="E72" s="5" t="str">
        <f t="shared" si="19"/>
        <v/>
      </c>
      <c r="F72" s="5">
        <v>16</v>
      </c>
      <c r="G72" s="5">
        <f t="shared" si="20"/>
        <v>1560</v>
      </c>
      <c r="H72" s="5">
        <f t="shared" si="21"/>
        <v>6.8</v>
      </c>
      <c r="I72" s="5">
        <v>78</v>
      </c>
      <c r="J72" s="5">
        <f t="shared" si="22"/>
        <v>1560</v>
      </c>
      <c r="K72" s="5">
        <f t="shared" si="23"/>
        <v>3.75</v>
      </c>
      <c r="L72" s="5" t="s">
        <v>180</v>
      </c>
      <c r="M72" s="5" t="s">
        <v>176</v>
      </c>
      <c r="N72" s="5">
        <f t="shared" si="24"/>
        <v>1560</v>
      </c>
      <c r="O72" s="5">
        <f t="shared" si="25"/>
        <v>3.75</v>
      </c>
      <c r="P72" s="5"/>
      <c r="Q72" s="5" t="str">
        <f t="shared" si="26"/>
        <v/>
      </c>
      <c r="R72" s="4"/>
      <c r="S72" s="4"/>
      <c r="T72" s="4" t="s">
        <v>181</v>
      </c>
      <c r="U72" s="4" t="s">
        <v>32</v>
      </c>
    </row>
    <row r="73" spans="1:21" ht="30" customHeight="1">
      <c r="A73" s="4">
        <v>69</v>
      </c>
      <c r="B73" s="4" t="s">
        <v>28</v>
      </c>
      <c r="C73" s="5">
        <f t="shared" si="18"/>
        <v>7.9</v>
      </c>
      <c r="D73" s="4"/>
      <c r="E73" s="5" t="str">
        <f t="shared" si="19"/>
        <v/>
      </c>
      <c r="F73" s="5">
        <v>16</v>
      </c>
      <c r="G73" s="5">
        <f t="shared" si="20"/>
        <v>1580</v>
      </c>
      <c r="H73" s="5">
        <f t="shared" si="21"/>
        <v>6.8</v>
      </c>
      <c r="I73" s="5">
        <v>79</v>
      </c>
      <c r="J73" s="5">
        <f t="shared" si="22"/>
        <v>1580</v>
      </c>
      <c r="K73" s="5">
        <f t="shared" si="23"/>
        <v>3.75</v>
      </c>
      <c r="L73" s="5" t="s">
        <v>182</v>
      </c>
      <c r="M73" s="5" t="s">
        <v>183</v>
      </c>
      <c r="N73" s="5">
        <f t="shared" si="24"/>
        <v>1580</v>
      </c>
      <c r="O73" s="5">
        <f t="shared" si="25"/>
        <v>3.75</v>
      </c>
      <c r="P73" s="5"/>
      <c r="Q73" s="5" t="str">
        <f t="shared" si="26"/>
        <v/>
      </c>
      <c r="R73" s="4"/>
      <c r="S73" s="4"/>
      <c r="T73" s="4" t="s">
        <v>184</v>
      </c>
      <c r="U73" s="4" t="s">
        <v>32</v>
      </c>
    </row>
    <row r="74" spans="1:21" ht="30" customHeight="1">
      <c r="A74" s="4">
        <v>70</v>
      </c>
      <c r="B74" s="4" t="s">
        <v>28</v>
      </c>
      <c r="C74" s="5">
        <f t="shared" si="18"/>
        <v>8</v>
      </c>
      <c r="D74" s="4"/>
      <c r="E74" s="5" t="str">
        <f t="shared" si="19"/>
        <v/>
      </c>
      <c r="F74" s="5">
        <v>16</v>
      </c>
      <c r="G74" s="5">
        <f t="shared" si="20"/>
        <v>1600</v>
      </c>
      <c r="H74" s="5">
        <f t="shared" si="21"/>
        <v>6.8</v>
      </c>
      <c r="I74" s="5">
        <v>80</v>
      </c>
      <c r="J74" s="5">
        <f t="shared" si="22"/>
        <v>1600</v>
      </c>
      <c r="K74" s="5">
        <f t="shared" si="23"/>
        <v>3.75</v>
      </c>
      <c r="L74" s="5" t="s">
        <v>185</v>
      </c>
      <c r="M74" s="5" t="s">
        <v>183</v>
      </c>
      <c r="N74" s="5">
        <f t="shared" si="24"/>
        <v>1600</v>
      </c>
      <c r="O74" s="5">
        <f t="shared" si="25"/>
        <v>3.75</v>
      </c>
      <c r="P74" s="5"/>
      <c r="Q74" s="5" t="str">
        <f t="shared" si="26"/>
        <v/>
      </c>
      <c r="R74" s="4"/>
      <c r="S74" s="4"/>
      <c r="T74" s="4" t="s">
        <v>186</v>
      </c>
      <c r="U74" s="4" t="s">
        <v>32</v>
      </c>
    </row>
    <row r="75" spans="1:21" ht="30" customHeight="1">
      <c r="A75" s="4">
        <v>71</v>
      </c>
      <c r="B75" s="4" t="s">
        <v>28</v>
      </c>
      <c r="C75" s="5">
        <f t="shared" si="18"/>
        <v>8.1</v>
      </c>
      <c r="D75" s="4"/>
      <c r="E75" s="5" t="str">
        <f t="shared" si="19"/>
        <v/>
      </c>
      <c r="F75" s="5">
        <v>17</v>
      </c>
      <c r="G75" s="5">
        <f t="shared" si="20"/>
        <v>1620</v>
      </c>
      <c r="H75" s="5">
        <f t="shared" si="21"/>
        <v>6.8</v>
      </c>
      <c r="I75" s="5">
        <v>81</v>
      </c>
      <c r="J75" s="5">
        <f t="shared" si="22"/>
        <v>1620</v>
      </c>
      <c r="K75" s="5">
        <f t="shared" si="23"/>
        <v>3.75</v>
      </c>
      <c r="L75" s="5" t="s">
        <v>187</v>
      </c>
      <c r="M75" s="5" t="s">
        <v>183</v>
      </c>
      <c r="N75" s="5">
        <f t="shared" si="24"/>
        <v>1620</v>
      </c>
      <c r="O75" s="5">
        <f t="shared" si="25"/>
        <v>3.75</v>
      </c>
      <c r="P75" s="5"/>
      <c r="Q75" s="5" t="str">
        <f t="shared" si="26"/>
        <v/>
      </c>
      <c r="R75" s="4"/>
      <c r="S75" s="4"/>
      <c r="T75" s="4" t="s">
        <v>188</v>
      </c>
      <c r="U75" s="4" t="s">
        <v>32</v>
      </c>
    </row>
    <row r="76" spans="1:21" ht="30" customHeight="1">
      <c r="A76" s="4">
        <v>72</v>
      </c>
      <c r="B76" s="4" t="s">
        <v>40</v>
      </c>
      <c r="C76" s="5">
        <f t="shared" si="18"/>
        <v>8.1999999999999993</v>
      </c>
      <c r="D76" s="4"/>
      <c r="E76" s="5" t="str">
        <f t="shared" si="19"/>
        <v/>
      </c>
      <c r="F76" s="5"/>
      <c r="G76" s="5" t="str">
        <f t="shared" si="20"/>
        <v/>
      </c>
      <c r="H76" s="5" t="str">
        <f t="shared" si="21"/>
        <v/>
      </c>
      <c r="I76" s="5"/>
      <c r="J76" s="5" t="str">
        <f t="shared" si="22"/>
        <v/>
      </c>
      <c r="K76" s="5" t="str">
        <f t="shared" si="23"/>
        <v/>
      </c>
      <c r="L76" s="5"/>
      <c r="M76" s="5"/>
      <c r="N76" s="5" t="str">
        <f t="shared" si="24"/>
        <v/>
      </c>
      <c r="O76" s="5" t="str">
        <f t="shared" si="25"/>
        <v/>
      </c>
      <c r="P76" s="5">
        <v>8</v>
      </c>
      <c r="Q76" s="5">
        <f t="shared" si="26"/>
        <v>16400</v>
      </c>
      <c r="R76" s="4">
        <v>2.5</v>
      </c>
      <c r="S76" s="4" t="s">
        <v>189</v>
      </c>
      <c r="T76" s="4" t="s">
        <v>190</v>
      </c>
      <c r="U76" s="4" t="s">
        <v>43</v>
      </c>
    </row>
    <row r="77" spans="1:21" ht="30" customHeight="1">
      <c r="A77" s="4">
        <v>73</v>
      </c>
      <c r="B77" s="4" t="s">
        <v>28</v>
      </c>
      <c r="C77" s="5">
        <f t="shared" si="18"/>
        <v>8.3000000000000007</v>
      </c>
      <c r="D77" s="4"/>
      <c r="E77" s="5" t="str">
        <f t="shared" si="19"/>
        <v/>
      </c>
      <c r="F77" s="5">
        <v>17</v>
      </c>
      <c r="G77" s="5">
        <f t="shared" si="20"/>
        <v>1660.0000000000002</v>
      </c>
      <c r="H77" s="5">
        <f t="shared" si="21"/>
        <v>6.8</v>
      </c>
      <c r="I77" s="5">
        <v>83</v>
      </c>
      <c r="J77" s="5">
        <f t="shared" si="22"/>
        <v>1660.0000000000002</v>
      </c>
      <c r="K77" s="5">
        <f t="shared" si="23"/>
        <v>3.75</v>
      </c>
      <c r="L77" s="5" t="s">
        <v>191</v>
      </c>
      <c r="M77" s="5" t="s">
        <v>192</v>
      </c>
      <c r="N77" s="5">
        <f t="shared" si="24"/>
        <v>1660.0000000000002</v>
      </c>
      <c r="O77" s="5">
        <f t="shared" si="25"/>
        <v>3.75</v>
      </c>
      <c r="P77" s="5"/>
      <c r="Q77" s="5" t="str">
        <f t="shared" si="26"/>
        <v/>
      </c>
      <c r="R77" s="4"/>
      <c r="S77" s="4"/>
      <c r="T77" s="4" t="s">
        <v>193</v>
      </c>
      <c r="U77" s="4" t="s">
        <v>32</v>
      </c>
    </row>
    <row r="78" spans="1:21" ht="30" customHeight="1">
      <c r="A78" s="4">
        <v>74</v>
      </c>
      <c r="B78" s="4" t="s">
        <v>28</v>
      </c>
      <c r="C78" s="5">
        <f t="shared" si="18"/>
        <v>8.4</v>
      </c>
      <c r="D78" s="4"/>
      <c r="E78" s="5" t="str">
        <f t="shared" si="19"/>
        <v/>
      </c>
      <c r="F78" s="5">
        <v>17</v>
      </c>
      <c r="G78" s="5">
        <f t="shared" si="20"/>
        <v>1680</v>
      </c>
      <c r="H78" s="5">
        <f t="shared" si="21"/>
        <v>6.8</v>
      </c>
      <c r="I78" s="5">
        <v>84</v>
      </c>
      <c r="J78" s="5">
        <f t="shared" si="22"/>
        <v>1680</v>
      </c>
      <c r="K78" s="5">
        <f t="shared" si="23"/>
        <v>3.75</v>
      </c>
      <c r="L78" s="5" t="s">
        <v>194</v>
      </c>
      <c r="M78" s="5" t="s">
        <v>192</v>
      </c>
      <c r="N78" s="5">
        <f t="shared" si="24"/>
        <v>1680</v>
      </c>
      <c r="O78" s="5">
        <f t="shared" si="25"/>
        <v>3.75</v>
      </c>
      <c r="P78" s="5"/>
      <c r="Q78" s="5" t="str">
        <f t="shared" si="26"/>
        <v/>
      </c>
      <c r="R78" s="4"/>
      <c r="S78" s="4"/>
      <c r="T78" s="4" t="s">
        <v>195</v>
      </c>
      <c r="U78" s="4" t="s">
        <v>32</v>
      </c>
    </row>
    <row r="79" spans="1:21" ht="30" customHeight="1">
      <c r="A79" s="4">
        <v>75</v>
      </c>
      <c r="B79" s="4" t="s">
        <v>28</v>
      </c>
      <c r="C79" s="5">
        <f t="shared" si="18"/>
        <v>8.5</v>
      </c>
      <c r="D79" s="4"/>
      <c r="E79" s="5" t="str">
        <f t="shared" si="19"/>
        <v/>
      </c>
      <c r="F79" s="5">
        <v>17</v>
      </c>
      <c r="G79" s="5">
        <f t="shared" si="20"/>
        <v>1700</v>
      </c>
      <c r="H79" s="5">
        <f t="shared" si="21"/>
        <v>6.8</v>
      </c>
      <c r="I79" s="5">
        <v>85</v>
      </c>
      <c r="J79" s="5">
        <f t="shared" si="22"/>
        <v>1700</v>
      </c>
      <c r="K79" s="5">
        <f t="shared" si="23"/>
        <v>3.75</v>
      </c>
      <c r="L79" s="5" t="s">
        <v>196</v>
      </c>
      <c r="M79" s="5" t="s">
        <v>197</v>
      </c>
      <c r="N79" s="5">
        <f t="shared" si="24"/>
        <v>1700</v>
      </c>
      <c r="O79" s="5">
        <f t="shared" si="25"/>
        <v>3.75</v>
      </c>
      <c r="P79" s="5"/>
      <c r="Q79" s="5" t="str">
        <f t="shared" si="26"/>
        <v/>
      </c>
      <c r="R79" s="4"/>
      <c r="S79" s="4"/>
      <c r="T79" s="4" t="s">
        <v>198</v>
      </c>
      <c r="U79" s="4" t="s">
        <v>32</v>
      </c>
    </row>
    <row r="80" spans="1:21" ht="30" customHeight="1">
      <c r="A80" s="4">
        <v>76</v>
      </c>
      <c r="B80" s="4" t="s">
        <v>28</v>
      </c>
      <c r="C80" s="5">
        <f t="shared" si="18"/>
        <v>8.6</v>
      </c>
      <c r="D80" s="4"/>
      <c r="E80" s="5" t="str">
        <f t="shared" si="19"/>
        <v/>
      </c>
      <c r="F80" s="5">
        <v>18</v>
      </c>
      <c r="G80" s="5">
        <f t="shared" si="20"/>
        <v>1720</v>
      </c>
      <c r="H80" s="5">
        <f t="shared" si="21"/>
        <v>6.8</v>
      </c>
      <c r="I80" s="5">
        <v>86</v>
      </c>
      <c r="J80" s="5">
        <f t="shared" si="22"/>
        <v>1720</v>
      </c>
      <c r="K80" s="5">
        <f t="shared" si="23"/>
        <v>3.75</v>
      </c>
      <c r="L80" s="5" t="s">
        <v>199</v>
      </c>
      <c r="M80" s="5" t="s">
        <v>197</v>
      </c>
      <c r="N80" s="5">
        <f t="shared" si="24"/>
        <v>1720</v>
      </c>
      <c r="O80" s="5">
        <f t="shared" si="25"/>
        <v>3.75</v>
      </c>
      <c r="P80" s="5"/>
      <c r="Q80" s="5" t="str">
        <f t="shared" si="26"/>
        <v/>
      </c>
      <c r="R80" s="4"/>
      <c r="S80" s="4"/>
      <c r="T80" s="4" t="s">
        <v>200</v>
      </c>
      <c r="U80" s="4" t="s">
        <v>32</v>
      </c>
    </row>
    <row r="81" spans="1:21" ht="30" customHeight="1">
      <c r="A81" s="4">
        <v>77</v>
      </c>
      <c r="B81" s="4" t="s">
        <v>28</v>
      </c>
      <c r="C81" s="5">
        <f t="shared" si="18"/>
        <v>8.6999999999999993</v>
      </c>
      <c r="D81" s="4"/>
      <c r="E81" s="5" t="str">
        <f t="shared" si="19"/>
        <v/>
      </c>
      <c r="F81" s="5">
        <v>18</v>
      </c>
      <c r="G81" s="5">
        <f t="shared" si="20"/>
        <v>1739.9999999999998</v>
      </c>
      <c r="H81" s="5">
        <f t="shared" si="21"/>
        <v>6.8</v>
      </c>
      <c r="I81" s="5">
        <v>87</v>
      </c>
      <c r="J81" s="5">
        <f t="shared" si="22"/>
        <v>1739.9999999999998</v>
      </c>
      <c r="K81" s="5">
        <f t="shared" si="23"/>
        <v>3.75</v>
      </c>
      <c r="L81" s="5" t="s">
        <v>201</v>
      </c>
      <c r="M81" s="5" t="s">
        <v>197</v>
      </c>
      <c r="N81" s="5">
        <f t="shared" si="24"/>
        <v>1739.9999999999998</v>
      </c>
      <c r="O81" s="5">
        <f t="shared" si="25"/>
        <v>3.75</v>
      </c>
      <c r="P81" s="5"/>
      <c r="Q81" s="5" t="str">
        <f t="shared" si="26"/>
        <v/>
      </c>
      <c r="R81" s="4"/>
      <c r="S81" s="4"/>
      <c r="T81" s="4" t="s">
        <v>202</v>
      </c>
      <c r="U81" s="4" t="s">
        <v>32</v>
      </c>
    </row>
    <row r="82" spans="1:21" ht="30" customHeight="1">
      <c r="A82" s="4">
        <v>78</v>
      </c>
      <c r="B82" s="4" t="s">
        <v>28</v>
      </c>
      <c r="C82" s="5">
        <f t="shared" si="18"/>
        <v>8.8000000000000007</v>
      </c>
      <c r="D82" s="4"/>
      <c r="E82" s="5" t="str">
        <f t="shared" si="19"/>
        <v/>
      </c>
      <c r="F82" s="5">
        <v>18</v>
      </c>
      <c r="G82" s="5">
        <f t="shared" si="20"/>
        <v>1760.0000000000002</v>
      </c>
      <c r="H82" s="5">
        <f t="shared" si="21"/>
        <v>6.8</v>
      </c>
      <c r="I82" s="5">
        <v>88</v>
      </c>
      <c r="J82" s="5">
        <f t="shared" si="22"/>
        <v>1760.0000000000002</v>
      </c>
      <c r="K82" s="5">
        <f t="shared" si="23"/>
        <v>3.75</v>
      </c>
      <c r="L82" s="5" t="s">
        <v>203</v>
      </c>
      <c r="M82" s="5" t="s">
        <v>204</v>
      </c>
      <c r="N82" s="5">
        <f t="shared" si="24"/>
        <v>1760.0000000000002</v>
      </c>
      <c r="O82" s="5">
        <f t="shared" si="25"/>
        <v>3.75</v>
      </c>
      <c r="P82" s="5"/>
      <c r="Q82" s="5" t="str">
        <f t="shared" si="26"/>
        <v/>
      </c>
      <c r="R82" s="4"/>
      <c r="S82" s="4"/>
      <c r="T82" s="4" t="s">
        <v>205</v>
      </c>
      <c r="U82" s="4" t="s">
        <v>32</v>
      </c>
    </row>
    <row r="83" spans="1:21" ht="30" customHeight="1">
      <c r="A83" s="4">
        <v>79</v>
      </c>
      <c r="B83" s="4" t="s">
        <v>28</v>
      </c>
      <c r="C83" s="5">
        <f t="shared" si="18"/>
        <v>8.9</v>
      </c>
      <c r="D83" s="4"/>
      <c r="E83" s="5" t="str">
        <f t="shared" si="19"/>
        <v/>
      </c>
      <c r="F83" s="5">
        <v>18</v>
      </c>
      <c r="G83" s="5">
        <f t="shared" si="20"/>
        <v>1780</v>
      </c>
      <c r="H83" s="5">
        <f t="shared" si="21"/>
        <v>6.8</v>
      </c>
      <c r="I83" s="5">
        <v>89</v>
      </c>
      <c r="J83" s="5">
        <f t="shared" si="22"/>
        <v>1780</v>
      </c>
      <c r="K83" s="5">
        <f t="shared" si="23"/>
        <v>3.75</v>
      </c>
      <c r="L83" s="5" t="s">
        <v>206</v>
      </c>
      <c r="M83" s="5" t="s">
        <v>204</v>
      </c>
      <c r="N83" s="5">
        <f t="shared" si="24"/>
        <v>1780</v>
      </c>
      <c r="O83" s="5">
        <f t="shared" si="25"/>
        <v>3.75</v>
      </c>
      <c r="P83" s="5"/>
      <c r="Q83" s="5" t="str">
        <f t="shared" si="26"/>
        <v/>
      </c>
      <c r="R83" s="4"/>
      <c r="S83" s="4"/>
      <c r="T83" s="4" t="s">
        <v>207</v>
      </c>
      <c r="U83" s="4" t="s">
        <v>32</v>
      </c>
    </row>
    <row r="84" spans="1:21" ht="30" customHeight="1">
      <c r="A84" s="4">
        <v>80</v>
      </c>
      <c r="B84" s="4" t="s">
        <v>40</v>
      </c>
      <c r="C84" s="5">
        <f t="shared" si="18"/>
        <v>9</v>
      </c>
      <c r="D84" s="4"/>
      <c r="E84" s="5" t="str">
        <f t="shared" si="19"/>
        <v/>
      </c>
      <c r="F84" s="5"/>
      <c r="G84" s="5" t="str">
        <f t="shared" si="20"/>
        <v/>
      </c>
      <c r="H84" s="5" t="str">
        <f t="shared" si="21"/>
        <v/>
      </c>
      <c r="I84" s="5"/>
      <c r="J84" s="5" t="str">
        <f t="shared" si="22"/>
        <v/>
      </c>
      <c r="K84" s="5" t="str">
        <f t="shared" si="23"/>
        <v/>
      </c>
      <c r="L84" s="5"/>
      <c r="M84" s="5"/>
      <c r="N84" s="5" t="str">
        <f t="shared" si="24"/>
        <v/>
      </c>
      <c r="O84" s="5" t="str">
        <f t="shared" si="25"/>
        <v/>
      </c>
      <c r="P84" s="5">
        <v>8</v>
      </c>
      <c r="Q84" s="5">
        <f t="shared" si="26"/>
        <v>18000</v>
      </c>
      <c r="R84" s="4">
        <v>2.5</v>
      </c>
      <c r="S84" s="4" t="s">
        <v>189</v>
      </c>
      <c r="T84" s="4" t="s">
        <v>190</v>
      </c>
      <c r="U84" s="4" t="s">
        <v>43</v>
      </c>
    </row>
    <row r="85" spans="1:21" ht="30" customHeight="1">
      <c r="A85" s="4">
        <v>81</v>
      </c>
      <c r="B85" s="4" t="s">
        <v>28</v>
      </c>
      <c r="C85" s="5">
        <f t="shared" si="18"/>
        <v>9.1</v>
      </c>
      <c r="D85" s="4"/>
      <c r="E85" s="5" t="str">
        <f t="shared" si="19"/>
        <v/>
      </c>
      <c r="F85" s="5">
        <v>19</v>
      </c>
      <c r="G85" s="5">
        <f t="shared" si="20"/>
        <v>1820</v>
      </c>
      <c r="H85" s="5">
        <f t="shared" si="21"/>
        <v>6.8</v>
      </c>
      <c r="I85" s="5">
        <v>91</v>
      </c>
      <c r="J85" s="5">
        <f t="shared" si="22"/>
        <v>1820</v>
      </c>
      <c r="K85" s="5">
        <f t="shared" si="23"/>
        <v>3.75</v>
      </c>
      <c r="L85" s="5" t="s">
        <v>208</v>
      </c>
      <c r="M85" s="5" t="s">
        <v>209</v>
      </c>
      <c r="N85" s="5">
        <f t="shared" si="24"/>
        <v>1820</v>
      </c>
      <c r="O85" s="5">
        <f t="shared" si="25"/>
        <v>3.75</v>
      </c>
      <c r="P85" s="5"/>
      <c r="Q85" s="5" t="str">
        <f t="shared" si="26"/>
        <v/>
      </c>
      <c r="R85" s="4"/>
      <c r="S85" s="4"/>
      <c r="T85" s="4" t="s">
        <v>210</v>
      </c>
      <c r="U85" s="4" t="s">
        <v>32</v>
      </c>
    </row>
    <row r="86" spans="1:21" ht="30" customHeight="1">
      <c r="A86" s="4">
        <v>82</v>
      </c>
      <c r="B86" s="4" t="s">
        <v>28</v>
      </c>
      <c r="C86" s="5">
        <f t="shared" si="18"/>
        <v>9.1999999999999993</v>
      </c>
      <c r="D86" s="4"/>
      <c r="E86" s="5" t="str">
        <f t="shared" si="19"/>
        <v/>
      </c>
      <c r="F86" s="5">
        <v>19</v>
      </c>
      <c r="G86" s="5">
        <f t="shared" si="20"/>
        <v>1839.9999999999998</v>
      </c>
      <c r="H86" s="5">
        <f t="shared" si="21"/>
        <v>6.8</v>
      </c>
      <c r="I86" s="5">
        <v>92</v>
      </c>
      <c r="J86" s="5">
        <f t="shared" si="22"/>
        <v>1839.9999999999998</v>
      </c>
      <c r="K86" s="5">
        <f t="shared" si="23"/>
        <v>3.75</v>
      </c>
      <c r="L86" s="5" t="s">
        <v>211</v>
      </c>
      <c r="M86" s="5" t="s">
        <v>209</v>
      </c>
      <c r="N86" s="5">
        <f t="shared" si="24"/>
        <v>1839.9999999999998</v>
      </c>
      <c r="O86" s="5">
        <f t="shared" si="25"/>
        <v>3.75</v>
      </c>
      <c r="P86" s="5"/>
      <c r="Q86" s="5" t="str">
        <f t="shared" si="26"/>
        <v/>
      </c>
      <c r="R86" s="4"/>
      <c r="S86" s="4"/>
      <c r="T86" s="4" t="s">
        <v>212</v>
      </c>
      <c r="U86" s="4" t="s">
        <v>32</v>
      </c>
    </row>
    <row r="87" spans="1:21" ht="30" customHeight="1">
      <c r="A87" s="4">
        <v>83</v>
      </c>
      <c r="B87" s="4" t="s">
        <v>28</v>
      </c>
      <c r="C87" s="5">
        <f t="shared" si="18"/>
        <v>9.3000000000000007</v>
      </c>
      <c r="D87" s="4"/>
      <c r="E87" s="5" t="str">
        <f t="shared" si="19"/>
        <v/>
      </c>
      <c r="F87" s="5">
        <v>19</v>
      </c>
      <c r="G87" s="5">
        <f t="shared" si="20"/>
        <v>1860.0000000000002</v>
      </c>
      <c r="H87" s="5">
        <f t="shared" si="21"/>
        <v>6.8</v>
      </c>
      <c r="I87" s="5">
        <v>93</v>
      </c>
      <c r="J87" s="5">
        <f t="shared" si="22"/>
        <v>1860.0000000000002</v>
      </c>
      <c r="K87" s="5">
        <f t="shared" si="23"/>
        <v>3.75</v>
      </c>
      <c r="L87" s="5" t="s">
        <v>213</v>
      </c>
      <c r="M87" s="5" t="s">
        <v>209</v>
      </c>
      <c r="N87" s="5">
        <f t="shared" si="24"/>
        <v>1860.0000000000002</v>
      </c>
      <c r="O87" s="5">
        <f t="shared" si="25"/>
        <v>3.75</v>
      </c>
      <c r="P87" s="5"/>
      <c r="Q87" s="5" t="str">
        <f t="shared" si="26"/>
        <v/>
      </c>
      <c r="R87" s="4"/>
      <c r="S87" s="4"/>
      <c r="T87" s="4" t="s">
        <v>214</v>
      </c>
      <c r="U87" s="4" t="s">
        <v>32</v>
      </c>
    </row>
    <row r="88" spans="1:21" ht="30" customHeight="1">
      <c r="A88" s="4">
        <v>84</v>
      </c>
      <c r="B88" s="4" t="s">
        <v>28</v>
      </c>
      <c r="C88" s="5">
        <f t="shared" si="18"/>
        <v>9.4</v>
      </c>
      <c r="D88" s="4"/>
      <c r="E88" s="5" t="str">
        <f t="shared" si="19"/>
        <v/>
      </c>
      <c r="F88" s="5">
        <v>19</v>
      </c>
      <c r="G88" s="5">
        <f t="shared" si="20"/>
        <v>1880</v>
      </c>
      <c r="H88" s="5">
        <f t="shared" si="21"/>
        <v>6.8</v>
      </c>
      <c r="I88" s="5">
        <v>94</v>
      </c>
      <c r="J88" s="5">
        <f t="shared" si="22"/>
        <v>1880</v>
      </c>
      <c r="K88" s="5">
        <f t="shared" si="23"/>
        <v>3.75</v>
      </c>
      <c r="L88" s="5" t="s">
        <v>215</v>
      </c>
      <c r="M88" s="5" t="s">
        <v>216</v>
      </c>
      <c r="N88" s="5">
        <f t="shared" si="24"/>
        <v>1880</v>
      </c>
      <c r="O88" s="5">
        <f t="shared" si="25"/>
        <v>3.75</v>
      </c>
      <c r="P88" s="5"/>
      <c r="Q88" s="5" t="str">
        <f t="shared" si="26"/>
        <v/>
      </c>
      <c r="R88" s="4"/>
      <c r="S88" s="4"/>
      <c r="T88" s="4" t="s">
        <v>217</v>
      </c>
      <c r="U88" s="4" t="s">
        <v>32</v>
      </c>
    </row>
    <row r="89" spans="1:21" ht="30" customHeight="1">
      <c r="A89" s="4">
        <v>85</v>
      </c>
      <c r="B89" s="4" t="s">
        <v>28</v>
      </c>
      <c r="C89" s="5">
        <f t="shared" si="18"/>
        <v>9.5</v>
      </c>
      <c r="D89" s="4"/>
      <c r="E89" s="5" t="str">
        <f t="shared" si="19"/>
        <v/>
      </c>
      <c r="F89" s="5">
        <v>19</v>
      </c>
      <c r="G89" s="5">
        <f t="shared" si="20"/>
        <v>1900</v>
      </c>
      <c r="H89" s="5">
        <f t="shared" si="21"/>
        <v>6.8</v>
      </c>
      <c r="I89" s="5">
        <v>95</v>
      </c>
      <c r="J89" s="5">
        <f t="shared" si="22"/>
        <v>1900</v>
      </c>
      <c r="K89" s="5">
        <f t="shared" si="23"/>
        <v>3.75</v>
      </c>
      <c r="L89" s="5" t="s">
        <v>218</v>
      </c>
      <c r="M89" s="5" t="s">
        <v>216</v>
      </c>
      <c r="N89" s="5">
        <f t="shared" si="24"/>
        <v>1900</v>
      </c>
      <c r="O89" s="5">
        <f t="shared" si="25"/>
        <v>3.75</v>
      </c>
      <c r="P89" s="5"/>
      <c r="Q89" s="5" t="str">
        <f t="shared" si="26"/>
        <v/>
      </c>
      <c r="R89" s="4"/>
      <c r="S89" s="4"/>
      <c r="T89" s="4" t="s">
        <v>219</v>
      </c>
      <c r="U89" s="4" t="s">
        <v>32</v>
      </c>
    </row>
    <row r="90" spans="1:21" ht="30" customHeight="1">
      <c r="A90" s="4">
        <v>86</v>
      </c>
      <c r="B90" s="4" t="s">
        <v>28</v>
      </c>
      <c r="C90" s="5">
        <f t="shared" si="18"/>
        <v>9.6</v>
      </c>
      <c r="D90" s="4"/>
      <c r="E90" s="5" t="str">
        <f t="shared" si="19"/>
        <v/>
      </c>
      <c r="F90" s="5">
        <v>20</v>
      </c>
      <c r="G90" s="5">
        <f t="shared" si="20"/>
        <v>1920</v>
      </c>
      <c r="H90" s="5">
        <f t="shared" si="21"/>
        <v>6.8</v>
      </c>
      <c r="I90" s="5">
        <v>96</v>
      </c>
      <c r="J90" s="5">
        <f t="shared" si="22"/>
        <v>1920</v>
      </c>
      <c r="K90" s="5">
        <f t="shared" si="23"/>
        <v>3.75</v>
      </c>
      <c r="L90" s="5" t="s">
        <v>220</v>
      </c>
      <c r="M90" s="5" t="s">
        <v>216</v>
      </c>
      <c r="N90" s="5">
        <f t="shared" si="24"/>
        <v>1920</v>
      </c>
      <c r="O90" s="5">
        <f t="shared" si="25"/>
        <v>3.75</v>
      </c>
      <c r="P90" s="5"/>
      <c r="Q90" s="5" t="str">
        <f t="shared" si="26"/>
        <v/>
      </c>
      <c r="R90" s="4"/>
      <c r="S90" s="4"/>
      <c r="T90" s="4" t="s">
        <v>221</v>
      </c>
      <c r="U90" s="4" t="s">
        <v>32</v>
      </c>
    </row>
    <row r="91" spans="1:21" ht="30" customHeight="1">
      <c r="A91" s="4">
        <v>87</v>
      </c>
      <c r="B91" s="4" t="s">
        <v>28</v>
      </c>
      <c r="C91" s="5">
        <f t="shared" si="18"/>
        <v>9.6999999999999993</v>
      </c>
      <c r="D91" s="4"/>
      <c r="E91" s="5" t="str">
        <f t="shared" si="19"/>
        <v/>
      </c>
      <c r="F91" s="5">
        <v>20</v>
      </c>
      <c r="G91" s="5">
        <f t="shared" si="20"/>
        <v>1939.9999999999998</v>
      </c>
      <c r="H91" s="5">
        <f t="shared" si="21"/>
        <v>6.8</v>
      </c>
      <c r="I91" s="5">
        <v>97</v>
      </c>
      <c r="J91" s="5">
        <f t="shared" si="22"/>
        <v>1939.9999999999998</v>
      </c>
      <c r="K91" s="5">
        <f t="shared" si="23"/>
        <v>3.75</v>
      </c>
      <c r="L91" s="5" t="s">
        <v>222</v>
      </c>
      <c r="M91" s="5" t="s">
        <v>223</v>
      </c>
      <c r="N91" s="5">
        <f t="shared" si="24"/>
        <v>1939.9999999999998</v>
      </c>
      <c r="O91" s="5">
        <f t="shared" si="25"/>
        <v>3.75</v>
      </c>
      <c r="P91" s="5"/>
      <c r="Q91" s="5" t="str">
        <f t="shared" si="26"/>
        <v/>
      </c>
      <c r="R91" s="4"/>
      <c r="S91" s="4"/>
      <c r="T91" s="4" t="s">
        <v>224</v>
      </c>
      <c r="U91" s="4" t="s">
        <v>32</v>
      </c>
    </row>
    <row r="92" spans="1:21" ht="30" customHeight="1">
      <c r="A92" s="4">
        <v>88</v>
      </c>
      <c r="B92" s="4" t="s">
        <v>40</v>
      </c>
      <c r="C92" s="5">
        <f t="shared" si="18"/>
        <v>9.8000000000000007</v>
      </c>
      <c r="D92" s="4"/>
      <c r="E92" s="5" t="str">
        <f t="shared" si="19"/>
        <v/>
      </c>
      <c r="F92" s="5"/>
      <c r="G92" s="5" t="str">
        <f t="shared" si="20"/>
        <v/>
      </c>
      <c r="H92" s="5" t="str">
        <f t="shared" si="21"/>
        <v/>
      </c>
      <c r="I92" s="5"/>
      <c r="J92" s="5" t="str">
        <f t="shared" si="22"/>
        <v/>
      </c>
      <c r="K92" s="5" t="str">
        <f t="shared" si="23"/>
        <v/>
      </c>
      <c r="L92" s="5"/>
      <c r="M92" s="5"/>
      <c r="N92" s="5" t="str">
        <f t="shared" si="24"/>
        <v/>
      </c>
      <c r="O92" s="5" t="str">
        <f t="shared" si="25"/>
        <v/>
      </c>
      <c r="P92" s="5">
        <v>9</v>
      </c>
      <c r="Q92" s="5">
        <f t="shared" si="26"/>
        <v>19600</v>
      </c>
      <c r="R92" s="4">
        <v>2.5</v>
      </c>
      <c r="S92" s="4" t="s">
        <v>225</v>
      </c>
      <c r="T92" s="4" t="s">
        <v>226</v>
      </c>
      <c r="U92" s="4" t="s">
        <v>43</v>
      </c>
    </row>
    <row r="93" spans="1:21" ht="30" customHeight="1">
      <c r="A93" s="4">
        <v>89</v>
      </c>
      <c r="B93" s="4" t="s">
        <v>28</v>
      </c>
      <c r="C93" s="5">
        <f t="shared" si="18"/>
        <v>9.9</v>
      </c>
      <c r="D93" s="4"/>
      <c r="E93" s="5" t="str">
        <f t="shared" si="19"/>
        <v/>
      </c>
      <c r="F93" s="5">
        <v>20</v>
      </c>
      <c r="G93" s="5">
        <f t="shared" si="20"/>
        <v>1980</v>
      </c>
      <c r="H93" s="5">
        <f t="shared" si="21"/>
        <v>6.8</v>
      </c>
      <c r="I93" s="5">
        <v>99</v>
      </c>
      <c r="J93" s="5">
        <f t="shared" si="22"/>
        <v>1980</v>
      </c>
      <c r="K93" s="5">
        <f t="shared" si="23"/>
        <v>3.75</v>
      </c>
      <c r="L93" s="5" t="s">
        <v>227</v>
      </c>
      <c r="M93" s="5" t="s">
        <v>223</v>
      </c>
      <c r="N93" s="5">
        <f t="shared" si="24"/>
        <v>1980</v>
      </c>
      <c r="O93" s="5">
        <f t="shared" si="25"/>
        <v>3.75</v>
      </c>
      <c r="P93" s="5"/>
      <c r="Q93" s="5" t="str">
        <f t="shared" si="26"/>
        <v/>
      </c>
      <c r="R93" s="4"/>
      <c r="S93" s="4"/>
      <c r="T93" s="4" t="s">
        <v>228</v>
      </c>
      <c r="U93" s="4" t="s">
        <v>32</v>
      </c>
    </row>
    <row r="94" spans="1:21" ht="30" customHeight="1">
      <c r="A94" s="4">
        <v>90</v>
      </c>
      <c r="B94" s="4" t="s">
        <v>28</v>
      </c>
      <c r="C94" s="5">
        <f t="shared" si="18"/>
        <v>10</v>
      </c>
      <c r="D94" s="4"/>
      <c r="E94" s="5" t="str">
        <f t="shared" si="19"/>
        <v/>
      </c>
      <c r="F94" s="5">
        <v>20</v>
      </c>
      <c r="G94" s="5">
        <f t="shared" si="20"/>
        <v>2000</v>
      </c>
      <c r="H94" s="5">
        <f t="shared" si="21"/>
        <v>6.8</v>
      </c>
      <c r="I94" s="5">
        <v>100</v>
      </c>
      <c r="J94" s="5">
        <f t="shared" si="22"/>
        <v>2000</v>
      </c>
      <c r="K94" s="5">
        <f t="shared" si="23"/>
        <v>3.75</v>
      </c>
      <c r="L94" s="5" t="s">
        <v>229</v>
      </c>
      <c r="M94" s="5" t="s">
        <v>230</v>
      </c>
      <c r="N94" s="5">
        <f t="shared" si="24"/>
        <v>2000</v>
      </c>
      <c r="O94" s="5">
        <f t="shared" si="25"/>
        <v>3.75</v>
      </c>
      <c r="P94" s="5"/>
      <c r="Q94" s="5" t="str">
        <f t="shared" si="26"/>
        <v/>
      </c>
      <c r="R94" s="4"/>
      <c r="S94" s="4"/>
      <c r="T94" s="4" t="s">
        <v>231</v>
      </c>
      <c r="U94" s="4" t="s">
        <v>32</v>
      </c>
    </row>
    <row r="95" spans="1:21" ht="30" customHeight="1">
      <c r="A95" s="4">
        <v>91</v>
      </c>
      <c r="B95" s="4" t="s">
        <v>28</v>
      </c>
      <c r="C95" s="5">
        <f t="shared" si="18"/>
        <v>10.1</v>
      </c>
      <c r="D95" s="4"/>
      <c r="E95" s="5" t="str">
        <f t="shared" si="19"/>
        <v/>
      </c>
      <c r="F95" s="5">
        <v>21</v>
      </c>
      <c r="G95" s="5">
        <f t="shared" si="20"/>
        <v>2020</v>
      </c>
      <c r="H95" s="5">
        <f t="shared" si="21"/>
        <v>6.8</v>
      </c>
      <c r="I95" s="5">
        <v>101</v>
      </c>
      <c r="J95" s="5">
        <f t="shared" si="22"/>
        <v>2020</v>
      </c>
      <c r="K95" s="5">
        <f t="shared" si="23"/>
        <v>3.75</v>
      </c>
      <c r="L95" s="5" t="s">
        <v>232</v>
      </c>
      <c r="M95" s="5" t="s">
        <v>230</v>
      </c>
      <c r="N95" s="5">
        <f t="shared" si="24"/>
        <v>2020</v>
      </c>
      <c r="O95" s="5">
        <f t="shared" si="25"/>
        <v>3.75</v>
      </c>
      <c r="P95" s="5"/>
      <c r="Q95" s="5" t="str">
        <f t="shared" si="26"/>
        <v/>
      </c>
      <c r="R95" s="4"/>
      <c r="S95" s="4"/>
      <c r="T95" s="4" t="s">
        <v>233</v>
      </c>
      <c r="U95" s="4" t="s">
        <v>32</v>
      </c>
    </row>
    <row r="96" spans="1:21" ht="30" customHeight="1">
      <c r="A96" s="4">
        <v>92</v>
      </c>
      <c r="B96" s="4" t="s">
        <v>28</v>
      </c>
      <c r="C96" s="5">
        <f t="shared" si="18"/>
        <v>10.199999999999999</v>
      </c>
      <c r="D96" s="4"/>
      <c r="E96" s="5" t="str">
        <f t="shared" si="19"/>
        <v/>
      </c>
      <c r="F96" s="5">
        <v>21</v>
      </c>
      <c r="G96" s="5">
        <f t="shared" si="20"/>
        <v>2039.9999999999998</v>
      </c>
      <c r="H96" s="5">
        <f t="shared" si="21"/>
        <v>6.8</v>
      </c>
      <c r="I96" s="5">
        <v>102</v>
      </c>
      <c r="J96" s="5">
        <f t="shared" si="22"/>
        <v>2039.9999999999998</v>
      </c>
      <c r="K96" s="5">
        <f t="shared" si="23"/>
        <v>3.75</v>
      </c>
      <c r="L96" s="5" t="s">
        <v>234</v>
      </c>
      <c r="M96" s="5" t="s">
        <v>230</v>
      </c>
      <c r="N96" s="5">
        <f t="shared" si="24"/>
        <v>2039.9999999999998</v>
      </c>
      <c r="O96" s="5">
        <f t="shared" si="25"/>
        <v>3.75</v>
      </c>
      <c r="P96" s="5"/>
      <c r="Q96" s="5" t="str">
        <f t="shared" si="26"/>
        <v/>
      </c>
      <c r="R96" s="4"/>
      <c r="S96" s="4"/>
      <c r="T96" s="4" t="s">
        <v>235</v>
      </c>
      <c r="U96" s="4" t="s">
        <v>32</v>
      </c>
    </row>
    <row r="97" spans="1:21" ht="30" customHeight="1">
      <c r="A97" s="4">
        <v>93</v>
      </c>
      <c r="B97" s="4" t="s">
        <v>28</v>
      </c>
      <c r="C97" s="5">
        <f t="shared" si="18"/>
        <v>10.3</v>
      </c>
      <c r="D97" s="4"/>
      <c r="E97" s="5" t="str">
        <f t="shared" si="19"/>
        <v/>
      </c>
      <c r="F97" s="5">
        <v>21</v>
      </c>
      <c r="G97" s="5">
        <f t="shared" si="20"/>
        <v>2060</v>
      </c>
      <c r="H97" s="5">
        <f t="shared" si="21"/>
        <v>6.8</v>
      </c>
      <c r="I97" s="5">
        <v>103</v>
      </c>
      <c r="J97" s="5">
        <f t="shared" si="22"/>
        <v>2060</v>
      </c>
      <c r="K97" s="5">
        <f t="shared" si="23"/>
        <v>3.75</v>
      </c>
      <c r="L97" s="5" t="s">
        <v>236</v>
      </c>
      <c r="M97" s="5" t="s">
        <v>237</v>
      </c>
      <c r="N97" s="5">
        <f t="shared" si="24"/>
        <v>2060</v>
      </c>
      <c r="O97" s="5">
        <f t="shared" si="25"/>
        <v>3.75</v>
      </c>
      <c r="P97" s="5"/>
      <c r="Q97" s="5" t="str">
        <f t="shared" si="26"/>
        <v/>
      </c>
      <c r="R97" s="4"/>
      <c r="S97" s="4"/>
      <c r="T97" s="4" t="s">
        <v>238</v>
      </c>
      <c r="U97" s="4" t="s">
        <v>32</v>
      </c>
    </row>
    <row r="98" spans="1:21" ht="30" customHeight="1">
      <c r="A98" s="4">
        <v>94</v>
      </c>
      <c r="B98" s="4" t="s">
        <v>28</v>
      </c>
      <c r="C98" s="5">
        <f t="shared" si="18"/>
        <v>10.4</v>
      </c>
      <c r="D98" s="4"/>
      <c r="E98" s="5" t="str">
        <f t="shared" si="19"/>
        <v/>
      </c>
      <c r="F98" s="5">
        <v>21</v>
      </c>
      <c r="G98" s="5">
        <f t="shared" si="20"/>
        <v>2080</v>
      </c>
      <c r="H98" s="5">
        <f t="shared" si="21"/>
        <v>6.8</v>
      </c>
      <c r="I98" s="5">
        <v>104</v>
      </c>
      <c r="J98" s="5">
        <f t="shared" si="22"/>
        <v>2080</v>
      </c>
      <c r="K98" s="5">
        <f t="shared" si="23"/>
        <v>3.75</v>
      </c>
      <c r="L98" s="5" t="s">
        <v>239</v>
      </c>
      <c r="M98" s="5" t="s">
        <v>237</v>
      </c>
      <c r="N98" s="5">
        <f t="shared" si="24"/>
        <v>2080</v>
      </c>
      <c r="O98" s="5">
        <f t="shared" si="25"/>
        <v>3.75</v>
      </c>
      <c r="P98" s="5"/>
      <c r="Q98" s="5" t="str">
        <f t="shared" si="26"/>
        <v/>
      </c>
      <c r="R98" s="4"/>
      <c r="S98" s="4"/>
      <c r="T98" s="4" t="s">
        <v>240</v>
      </c>
      <c r="U98" s="4" t="s">
        <v>32</v>
      </c>
    </row>
    <row r="99" spans="1:21" ht="30" customHeight="1">
      <c r="A99" s="4">
        <v>95</v>
      </c>
      <c r="B99" s="4" t="s">
        <v>28</v>
      </c>
      <c r="C99" s="5">
        <f t="shared" si="18"/>
        <v>10.5</v>
      </c>
      <c r="D99" s="4"/>
      <c r="E99" s="5" t="str">
        <f t="shared" si="19"/>
        <v/>
      </c>
      <c r="F99" s="5">
        <v>21</v>
      </c>
      <c r="G99" s="5">
        <f t="shared" si="20"/>
        <v>2100</v>
      </c>
      <c r="H99" s="5">
        <f t="shared" si="21"/>
        <v>6.8</v>
      </c>
      <c r="I99" s="5">
        <v>105</v>
      </c>
      <c r="J99" s="5">
        <f t="shared" si="22"/>
        <v>2100</v>
      </c>
      <c r="K99" s="5">
        <f t="shared" si="23"/>
        <v>3.75</v>
      </c>
      <c r="L99" s="5" t="s">
        <v>241</v>
      </c>
      <c r="M99" s="5" t="s">
        <v>237</v>
      </c>
      <c r="N99" s="5">
        <f t="shared" si="24"/>
        <v>2100</v>
      </c>
      <c r="O99" s="5">
        <f t="shared" si="25"/>
        <v>3.75</v>
      </c>
      <c r="P99" s="5"/>
      <c r="Q99" s="5" t="str">
        <f t="shared" si="26"/>
        <v/>
      </c>
      <c r="R99" s="4"/>
      <c r="S99" s="4"/>
      <c r="T99" s="4" t="s">
        <v>242</v>
      </c>
      <c r="U99" s="4" t="s">
        <v>32</v>
      </c>
    </row>
    <row r="100" spans="1:21" ht="30" customHeight="1">
      <c r="A100" s="4">
        <v>96</v>
      </c>
      <c r="B100" s="4" t="s">
        <v>40</v>
      </c>
      <c r="C100" s="5">
        <f t="shared" si="18"/>
        <v>10.6</v>
      </c>
      <c r="D100" s="4"/>
      <c r="E100" s="5" t="str">
        <f t="shared" si="19"/>
        <v/>
      </c>
      <c r="F100" s="5"/>
      <c r="G100" s="5" t="str">
        <f t="shared" si="20"/>
        <v/>
      </c>
      <c r="H100" s="5" t="str">
        <f t="shared" si="21"/>
        <v/>
      </c>
      <c r="I100" s="5"/>
      <c r="J100" s="5" t="str">
        <f t="shared" si="22"/>
        <v/>
      </c>
      <c r="K100" s="5" t="str">
        <f t="shared" si="23"/>
        <v/>
      </c>
      <c r="L100" s="5"/>
      <c r="M100" s="5"/>
      <c r="N100" s="5" t="str">
        <f t="shared" si="24"/>
        <v/>
      </c>
      <c r="O100" s="5" t="str">
        <f t="shared" si="25"/>
        <v/>
      </c>
      <c r="P100" s="5">
        <v>10</v>
      </c>
      <c r="Q100" s="5">
        <f t="shared" si="26"/>
        <v>21200</v>
      </c>
      <c r="R100" s="4">
        <v>2.5</v>
      </c>
      <c r="S100" s="4" t="s">
        <v>243</v>
      </c>
      <c r="T100" s="4" t="s">
        <v>244</v>
      </c>
      <c r="U100" s="4" t="s">
        <v>43</v>
      </c>
    </row>
    <row r="101" spans="1:21" ht="30" customHeight="1">
      <c r="A101" s="4">
        <v>97</v>
      </c>
      <c r="B101" s="4" t="s">
        <v>28</v>
      </c>
      <c r="C101" s="5">
        <f t="shared" ref="C101:C132" si="27">1+A101/10</f>
        <v>10.7</v>
      </c>
      <c r="D101" s="4"/>
      <c r="E101" s="5" t="str">
        <f t="shared" ref="E101:E132" si="28">IF(D101&lt;&gt;"",50*C101,"")</f>
        <v/>
      </c>
      <c r="F101" s="5">
        <v>22</v>
      </c>
      <c r="G101" s="5">
        <f t="shared" ref="G101:G132" si="29">IF(F101&lt;&gt;"",200*C101,"")</f>
        <v>2140</v>
      </c>
      <c r="H101" s="5">
        <f t="shared" ref="H101:H132" si="30">IF(F101&lt;&gt;"",MIN(4*(1+A101/30),4*1.7),"")</f>
        <v>6.8</v>
      </c>
      <c r="I101" s="5">
        <v>107</v>
      </c>
      <c r="J101" s="5">
        <f t="shared" ref="J101:J132" si="31">IF(I101&lt;&gt;"",200*C101,"")</f>
        <v>2140</v>
      </c>
      <c r="K101" s="5">
        <f t="shared" ref="K101:K132" si="32">IF(I101&lt;&gt;"",2.5*MIN(1+A101/30,1.5),"")</f>
        <v>3.75</v>
      </c>
      <c r="L101" s="5" t="s">
        <v>245</v>
      </c>
      <c r="M101" s="5" t="s">
        <v>246</v>
      </c>
      <c r="N101" s="5">
        <f t="shared" ref="N101:N132" si="33">IF(M101&lt;&gt;"",200*C101,"")</f>
        <v>2140</v>
      </c>
      <c r="O101" s="5">
        <f t="shared" ref="O101:O132" si="34">IF(M101&lt;&gt;"",2.5*MIN(1+A101/30,1.5),"")</f>
        <v>3.75</v>
      </c>
      <c r="P101" s="5"/>
      <c r="Q101" s="5" t="str">
        <f t="shared" ref="Q101:Q132" si="35">IF(P101&lt;&gt;"",2000*C101,"")</f>
        <v/>
      </c>
      <c r="R101" s="4"/>
      <c r="S101" s="4"/>
      <c r="T101" s="4" t="s">
        <v>247</v>
      </c>
      <c r="U101" s="4" t="s">
        <v>32</v>
      </c>
    </row>
    <row r="102" spans="1:21" ht="30" customHeight="1">
      <c r="A102" s="4">
        <v>98</v>
      </c>
      <c r="B102" s="4" t="s">
        <v>28</v>
      </c>
      <c r="C102" s="5">
        <f t="shared" si="27"/>
        <v>10.8</v>
      </c>
      <c r="D102" s="4"/>
      <c r="E102" s="5" t="str">
        <f t="shared" si="28"/>
        <v/>
      </c>
      <c r="F102" s="5">
        <v>22</v>
      </c>
      <c r="G102" s="5">
        <f t="shared" si="29"/>
        <v>2160</v>
      </c>
      <c r="H102" s="5">
        <f t="shared" si="30"/>
        <v>6.8</v>
      </c>
      <c r="I102" s="5">
        <v>108</v>
      </c>
      <c r="J102" s="5">
        <f t="shared" si="31"/>
        <v>2160</v>
      </c>
      <c r="K102" s="5">
        <f t="shared" si="32"/>
        <v>3.75</v>
      </c>
      <c r="L102" s="5" t="s">
        <v>248</v>
      </c>
      <c r="M102" s="5" t="s">
        <v>246</v>
      </c>
      <c r="N102" s="5">
        <f t="shared" si="33"/>
        <v>2160</v>
      </c>
      <c r="O102" s="5">
        <f t="shared" si="34"/>
        <v>3.75</v>
      </c>
      <c r="P102" s="5"/>
      <c r="Q102" s="5" t="str">
        <f t="shared" si="35"/>
        <v/>
      </c>
      <c r="R102" s="4"/>
      <c r="S102" s="4"/>
      <c r="T102" s="4" t="s">
        <v>249</v>
      </c>
      <c r="U102" s="4" t="s">
        <v>32</v>
      </c>
    </row>
    <row r="103" spans="1:21" ht="30" customHeight="1">
      <c r="A103" s="4">
        <v>99</v>
      </c>
      <c r="B103" s="4" t="s">
        <v>28</v>
      </c>
      <c r="C103" s="5">
        <f t="shared" si="27"/>
        <v>10.9</v>
      </c>
      <c r="D103" s="4"/>
      <c r="E103" s="5" t="str">
        <f t="shared" si="28"/>
        <v/>
      </c>
      <c r="F103" s="5">
        <v>22</v>
      </c>
      <c r="G103" s="5">
        <f t="shared" si="29"/>
        <v>2180</v>
      </c>
      <c r="H103" s="5">
        <f t="shared" si="30"/>
        <v>6.8</v>
      </c>
      <c r="I103" s="5">
        <v>109</v>
      </c>
      <c r="J103" s="5">
        <f t="shared" si="31"/>
        <v>2180</v>
      </c>
      <c r="K103" s="5">
        <f t="shared" si="32"/>
        <v>3.75</v>
      </c>
      <c r="L103" s="5" t="s">
        <v>250</v>
      </c>
      <c r="M103" s="5" t="s">
        <v>251</v>
      </c>
      <c r="N103" s="5">
        <f t="shared" si="33"/>
        <v>2180</v>
      </c>
      <c r="O103" s="5">
        <f t="shared" si="34"/>
        <v>3.75</v>
      </c>
      <c r="P103" s="5"/>
      <c r="Q103" s="5" t="str">
        <f t="shared" si="35"/>
        <v/>
      </c>
      <c r="R103" s="4"/>
      <c r="S103" s="4"/>
      <c r="T103" s="4" t="s">
        <v>252</v>
      </c>
      <c r="U103" s="4" t="s">
        <v>32</v>
      </c>
    </row>
    <row r="104" spans="1:21" ht="30" customHeight="1">
      <c r="A104" s="4">
        <v>100</v>
      </c>
      <c r="B104" s="4" t="s">
        <v>28</v>
      </c>
      <c r="C104" s="5">
        <f t="shared" si="27"/>
        <v>11</v>
      </c>
      <c r="D104" s="4"/>
      <c r="E104" s="5" t="str">
        <f t="shared" si="28"/>
        <v/>
      </c>
      <c r="F104" s="5">
        <v>22</v>
      </c>
      <c r="G104" s="5">
        <f t="shared" si="29"/>
        <v>2200</v>
      </c>
      <c r="H104" s="5">
        <f t="shared" si="30"/>
        <v>6.8</v>
      </c>
      <c r="I104" s="5">
        <v>110</v>
      </c>
      <c r="J104" s="5">
        <f t="shared" si="31"/>
        <v>2200</v>
      </c>
      <c r="K104" s="5">
        <f t="shared" si="32"/>
        <v>3.75</v>
      </c>
      <c r="L104" s="5" t="s">
        <v>253</v>
      </c>
      <c r="M104" s="5" t="s">
        <v>251</v>
      </c>
      <c r="N104" s="5">
        <f t="shared" si="33"/>
        <v>2200</v>
      </c>
      <c r="O104" s="5">
        <f t="shared" si="34"/>
        <v>3.75</v>
      </c>
      <c r="P104" s="5"/>
      <c r="Q104" s="5" t="str">
        <f t="shared" si="35"/>
        <v/>
      </c>
      <c r="R104" s="4"/>
      <c r="S104" s="4"/>
      <c r="T104" s="4" t="s">
        <v>254</v>
      </c>
      <c r="U104" s="4" t="s">
        <v>32</v>
      </c>
    </row>
    <row r="105" spans="1:21" ht="30" customHeight="1">
      <c r="A105" s="4">
        <v>101</v>
      </c>
      <c r="B105" s="4" t="s">
        <v>28</v>
      </c>
      <c r="C105" s="5">
        <f t="shared" si="27"/>
        <v>11.1</v>
      </c>
      <c r="D105" s="4"/>
      <c r="E105" s="5" t="str">
        <f t="shared" si="28"/>
        <v/>
      </c>
      <c r="F105" s="5">
        <v>23</v>
      </c>
      <c r="G105" s="5">
        <f t="shared" si="29"/>
        <v>2220</v>
      </c>
      <c r="H105" s="5">
        <f t="shared" si="30"/>
        <v>6.8</v>
      </c>
      <c r="I105" s="5">
        <v>111</v>
      </c>
      <c r="J105" s="5">
        <f t="shared" si="31"/>
        <v>2220</v>
      </c>
      <c r="K105" s="5">
        <f t="shared" si="32"/>
        <v>3.75</v>
      </c>
      <c r="L105" s="5" t="s">
        <v>255</v>
      </c>
      <c r="M105" s="5" t="s">
        <v>251</v>
      </c>
      <c r="N105" s="5">
        <f t="shared" si="33"/>
        <v>2220</v>
      </c>
      <c r="O105" s="5">
        <f t="shared" si="34"/>
        <v>3.75</v>
      </c>
      <c r="P105" s="5"/>
      <c r="Q105" s="5" t="str">
        <f t="shared" si="35"/>
        <v/>
      </c>
      <c r="R105" s="4"/>
      <c r="S105" s="4"/>
      <c r="T105" s="4" t="s">
        <v>256</v>
      </c>
      <c r="U105" s="4" t="s">
        <v>32</v>
      </c>
    </row>
    <row r="106" spans="1:21" ht="30" customHeight="1">
      <c r="A106" s="4">
        <v>102</v>
      </c>
      <c r="B106" s="4" t="s">
        <v>28</v>
      </c>
      <c r="C106" s="5">
        <f t="shared" si="27"/>
        <v>11.2</v>
      </c>
      <c r="D106" s="4"/>
      <c r="E106" s="5" t="str">
        <f t="shared" si="28"/>
        <v/>
      </c>
      <c r="F106" s="5">
        <v>23</v>
      </c>
      <c r="G106" s="5">
        <f t="shared" si="29"/>
        <v>2240</v>
      </c>
      <c r="H106" s="5">
        <f t="shared" si="30"/>
        <v>6.8</v>
      </c>
      <c r="I106" s="5">
        <v>112</v>
      </c>
      <c r="J106" s="5">
        <f t="shared" si="31"/>
        <v>2240</v>
      </c>
      <c r="K106" s="5">
        <f t="shared" si="32"/>
        <v>3.75</v>
      </c>
      <c r="L106" s="5" t="s">
        <v>257</v>
      </c>
      <c r="M106" s="5" t="s">
        <v>258</v>
      </c>
      <c r="N106" s="5">
        <f t="shared" si="33"/>
        <v>2240</v>
      </c>
      <c r="O106" s="5">
        <f t="shared" si="34"/>
        <v>3.75</v>
      </c>
      <c r="P106" s="5"/>
      <c r="Q106" s="5" t="str">
        <f t="shared" si="35"/>
        <v/>
      </c>
      <c r="R106" s="4"/>
      <c r="S106" s="4"/>
      <c r="T106" s="4" t="s">
        <v>259</v>
      </c>
      <c r="U106" s="4" t="s">
        <v>32</v>
      </c>
    </row>
    <row r="107" spans="1:21" ht="30" customHeight="1">
      <c r="A107" s="4">
        <v>103</v>
      </c>
      <c r="B107" s="4" t="s">
        <v>28</v>
      </c>
      <c r="C107" s="5">
        <f t="shared" si="27"/>
        <v>11.3</v>
      </c>
      <c r="D107" s="4"/>
      <c r="E107" s="5" t="str">
        <f t="shared" si="28"/>
        <v/>
      </c>
      <c r="F107" s="5">
        <v>23</v>
      </c>
      <c r="G107" s="5">
        <f t="shared" si="29"/>
        <v>2260</v>
      </c>
      <c r="H107" s="5">
        <f t="shared" si="30"/>
        <v>6.8</v>
      </c>
      <c r="I107" s="5">
        <v>113</v>
      </c>
      <c r="J107" s="5">
        <f t="shared" si="31"/>
        <v>2260</v>
      </c>
      <c r="K107" s="5">
        <f t="shared" si="32"/>
        <v>3.75</v>
      </c>
      <c r="L107" s="5" t="s">
        <v>260</v>
      </c>
      <c r="M107" s="5" t="s">
        <v>258</v>
      </c>
      <c r="N107" s="5">
        <f t="shared" si="33"/>
        <v>2260</v>
      </c>
      <c r="O107" s="5">
        <f t="shared" si="34"/>
        <v>3.75</v>
      </c>
      <c r="P107" s="5"/>
      <c r="Q107" s="5" t="str">
        <f t="shared" si="35"/>
        <v/>
      </c>
      <c r="R107" s="4"/>
      <c r="S107" s="4"/>
      <c r="T107" s="4" t="s">
        <v>261</v>
      </c>
      <c r="U107" s="4" t="s">
        <v>32</v>
      </c>
    </row>
    <row r="108" spans="1:21" ht="30" customHeight="1">
      <c r="A108" s="4">
        <v>104</v>
      </c>
      <c r="B108" s="4" t="s">
        <v>40</v>
      </c>
      <c r="C108" s="5">
        <f t="shared" si="27"/>
        <v>11.4</v>
      </c>
      <c r="D108" s="4"/>
      <c r="E108" s="5" t="str">
        <f t="shared" si="28"/>
        <v/>
      </c>
      <c r="F108" s="5"/>
      <c r="G108" s="5" t="str">
        <f t="shared" si="29"/>
        <v/>
      </c>
      <c r="H108" s="5" t="str">
        <f t="shared" si="30"/>
        <v/>
      </c>
      <c r="I108" s="5"/>
      <c r="J108" s="5" t="str">
        <f t="shared" si="31"/>
        <v/>
      </c>
      <c r="K108" s="5" t="str">
        <f t="shared" si="32"/>
        <v/>
      </c>
      <c r="L108" s="5"/>
      <c r="M108" s="5"/>
      <c r="N108" s="5" t="str">
        <f t="shared" si="33"/>
        <v/>
      </c>
      <c r="O108" s="5" t="str">
        <f t="shared" si="34"/>
        <v/>
      </c>
      <c r="P108" s="5">
        <v>11</v>
      </c>
      <c r="Q108" s="5">
        <f t="shared" si="35"/>
        <v>22800</v>
      </c>
      <c r="R108" s="4">
        <v>2.5</v>
      </c>
      <c r="S108" s="4" t="s">
        <v>262</v>
      </c>
      <c r="T108" s="4" t="s">
        <v>263</v>
      </c>
      <c r="U108" s="4" t="s">
        <v>43</v>
      </c>
    </row>
    <row r="109" spans="1:21" ht="30" customHeight="1">
      <c r="A109" s="4">
        <v>105</v>
      </c>
      <c r="B109" s="4" t="s">
        <v>28</v>
      </c>
      <c r="C109" s="5">
        <f t="shared" si="27"/>
        <v>11.5</v>
      </c>
      <c r="D109" s="4"/>
      <c r="E109" s="5" t="str">
        <f t="shared" si="28"/>
        <v/>
      </c>
      <c r="F109" s="5">
        <v>23</v>
      </c>
      <c r="G109" s="5">
        <f t="shared" si="29"/>
        <v>2300</v>
      </c>
      <c r="H109" s="5">
        <f t="shared" si="30"/>
        <v>6.8</v>
      </c>
      <c r="I109" s="5">
        <v>115</v>
      </c>
      <c r="J109" s="5">
        <f t="shared" si="31"/>
        <v>2300</v>
      </c>
      <c r="K109" s="5">
        <f t="shared" si="32"/>
        <v>3.75</v>
      </c>
      <c r="L109" s="5" t="s">
        <v>264</v>
      </c>
      <c r="M109" s="5" t="s">
        <v>265</v>
      </c>
      <c r="N109" s="5">
        <f t="shared" si="33"/>
        <v>2300</v>
      </c>
      <c r="O109" s="5">
        <f t="shared" si="34"/>
        <v>3.75</v>
      </c>
      <c r="P109" s="5"/>
      <c r="Q109" s="5" t="str">
        <f t="shared" si="35"/>
        <v/>
      </c>
      <c r="R109" s="4"/>
      <c r="S109" s="4"/>
      <c r="T109" s="4" t="s">
        <v>266</v>
      </c>
      <c r="U109" s="4" t="s">
        <v>32</v>
      </c>
    </row>
    <row r="110" spans="1:21" ht="30" customHeight="1">
      <c r="A110" s="4">
        <v>106</v>
      </c>
      <c r="B110" s="4" t="s">
        <v>28</v>
      </c>
      <c r="C110" s="5">
        <f t="shared" si="27"/>
        <v>11.6</v>
      </c>
      <c r="D110" s="4"/>
      <c r="E110" s="5" t="str">
        <f t="shared" si="28"/>
        <v/>
      </c>
      <c r="F110" s="5">
        <v>24</v>
      </c>
      <c r="G110" s="5">
        <f t="shared" si="29"/>
        <v>2320</v>
      </c>
      <c r="H110" s="5">
        <f t="shared" si="30"/>
        <v>6.8</v>
      </c>
      <c r="I110" s="5">
        <v>116</v>
      </c>
      <c r="J110" s="5">
        <f t="shared" si="31"/>
        <v>2320</v>
      </c>
      <c r="K110" s="5">
        <f t="shared" si="32"/>
        <v>3.75</v>
      </c>
      <c r="L110" s="5" t="s">
        <v>267</v>
      </c>
      <c r="M110" s="5" t="s">
        <v>265</v>
      </c>
      <c r="N110" s="5">
        <f t="shared" si="33"/>
        <v>2320</v>
      </c>
      <c r="O110" s="5">
        <f t="shared" si="34"/>
        <v>3.75</v>
      </c>
      <c r="P110" s="5"/>
      <c r="Q110" s="5" t="str">
        <f t="shared" si="35"/>
        <v/>
      </c>
      <c r="R110" s="4"/>
      <c r="S110" s="4"/>
      <c r="T110" s="4" t="s">
        <v>268</v>
      </c>
      <c r="U110" s="4" t="s">
        <v>32</v>
      </c>
    </row>
    <row r="111" spans="1:21" ht="30" customHeight="1">
      <c r="A111" s="4">
        <v>107</v>
      </c>
      <c r="B111" s="4" t="s">
        <v>28</v>
      </c>
      <c r="C111" s="5">
        <f t="shared" si="27"/>
        <v>11.7</v>
      </c>
      <c r="D111" s="4"/>
      <c r="E111" s="5" t="str">
        <f t="shared" si="28"/>
        <v/>
      </c>
      <c r="F111" s="5">
        <v>24</v>
      </c>
      <c r="G111" s="5">
        <f t="shared" si="29"/>
        <v>2340</v>
      </c>
      <c r="H111" s="5">
        <f t="shared" si="30"/>
        <v>6.8</v>
      </c>
      <c r="I111" s="5">
        <v>117</v>
      </c>
      <c r="J111" s="5">
        <f t="shared" si="31"/>
        <v>2340</v>
      </c>
      <c r="K111" s="5">
        <f t="shared" si="32"/>
        <v>3.75</v>
      </c>
      <c r="L111" s="5" t="s">
        <v>269</v>
      </c>
      <c r="M111" s="5" t="s">
        <v>265</v>
      </c>
      <c r="N111" s="5">
        <f t="shared" si="33"/>
        <v>2340</v>
      </c>
      <c r="O111" s="5">
        <f t="shared" si="34"/>
        <v>3.75</v>
      </c>
      <c r="P111" s="5"/>
      <c r="Q111" s="5" t="str">
        <f t="shared" si="35"/>
        <v/>
      </c>
      <c r="R111" s="4"/>
      <c r="S111" s="4"/>
      <c r="T111" s="4" t="s">
        <v>270</v>
      </c>
      <c r="U111" s="4" t="s">
        <v>32</v>
      </c>
    </row>
    <row r="112" spans="1:21" ht="30" customHeight="1">
      <c r="A112" s="4">
        <v>108</v>
      </c>
      <c r="B112" s="4" t="s">
        <v>28</v>
      </c>
      <c r="C112" s="5">
        <f t="shared" si="27"/>
        <v>11.8</v>
      </c>
      <c r="D112" s="4"/>
      <c r="E112" s="5" t="str">
        <f t="shared" si="28"/>
        <v/>
      </c>
      <c r="F112" s="5">
        <v>24</v>
      </c>
      <c r="G112" s="5">
        <f t="shared" si="29"/>
        <v>2360</v>
      </c>
      <c r="H112" s="5">
        <f t="shared" si="30"/>
        <v>6.8</v>
      </c>
      <c r="I112" s="5">
        <v>118</v>
      </c>
      <c r="J112" s="5">
        <f t="shared" si="31"/>
        <v>2360</v>
      </c>
      <c r="K112" s="5">
        <f t="shared" si="32"/>
        <v>3.75</v>
      </c>
      <c r="L112" s="5" t="s">
        <v>271</v>
      </c>
      <c r="M112" s="5" t="s">
        <v>272</v>
      </c>
      <c r="N112" s="5">
        <f t="shared" si="33"/>
        <v>2360</v>
      </c>
      <c r="O112" s="5">
        <f t="shared" si="34"/>
        <v>3.75</v>
      </c>
      <c r="P112" s="5"/>
      <c r="Q112" s="5" t="str">
        <f t="shared" si="35"/>
        <v/>
      </c>
      <c r="R112" s="4"/>
      <c r="S112" s="4"/>
      <c r="T112" s="4" t="s">
        <v>273</v>
      </c>
      <c r="U112" s="4" t="s">
        <v>32</v>
      </c>
    </row>
    <row r="113" spans="1:21" ht="30" customHeight="1">
      <c r="A113" s="4">
        <v>109</v>
      </c>
      <c r="B113" s="4" t="s">
        <v>28</v>
      </c>
      <c r="C113" s="5">
        <f t="shared" si="27"/>
        <v>11.9</v>
      </c>
      <c r="D113" s="4"/>
      <c r="E113" s="5" t="str">
        <f t="shared" si="28"/>
        <v/>
      </c>
      <c r="F113" s="5">
        <v>24</v>
      </c>
      <c r="G113" s="5">
        <f t="shared" si="29"/>
        <v>2380</v>
      </c>
      <c r="H113" s="5">
        <f t="shared" si="30"/>
        <v>6.8</v>
      </c>
      <c r="I113" s="5">
        <v>119</v>
      </c>
      <c r="J113" s="5">
        <f t="shared" si="31"/>
        <v>2380</v>
      </c>
      <c r="K113" s="5">
        <f t="shared" si="32"/>
        <v>3.75</v>
      </c>
      <c r="L113" s="5" t="s">
        <v>274</v>
      </c>
      <c r="M113" s="5" t="s">
        <v>272</v>
      </c>
      <c r="N113" s="5">
        <f t="shared" si="33"/>
        <v>2380</v>
      </c>
      <c r="O113" s="5">
        <f t="shared" si="34"/>
        <v>3.75</v>
      </c>
      <c r="P113" s="5"/>
      <c r="Q113" s="5" t="str">
        <f t="shared" si="35"/>
        <v/>
      </c>
      <c r="R113" s="4"/>
      <c r="S113" s="4"/>
      <c r="T113" s="4" t="s">
        <v>275</v>
      </c>
      <c r="U113" s="4" t="s">
        <v>32</v>
      </c>
    </row>
    <row r="114" spans="1:21" ht="30" customHeight="1">
      <c r="A114" s="4">
        <v>110</v>
      </c>
      <c r="B114" s="4" t="s">
        <v>28</v>
      </c>
      <c r="C114" s="5">
        <f t="shared" si="27"/>
        <v>12</v>
      </c>
      <c r="D114" s="4"/>
      <c r="E114" s="5" t="str">
        <f t="shared" si="28"/>
        <v/>
      </c>
      <c r="F114" s="5">
        <v>24</v>
      </c>
      <c r="G114" s="5">
        <f t="shared" si="29"/>
        <v>2400</v>
      </c>
      <c r="H114" s="5">
        <f t="shared" si="30"/>
        <v>6.8</v>
      </c>
      <c r="I114" s="5">
        <v>120</v>
      </c>
      <c r="J114" s="5">
        <f t="shared" si="31"/>
        <v>2400</v>
      </c>
      <c r="K114" s="5">
        <f t="shared" si="32"/>
        <v>3.75</v>
      </c>
      <c r="L114" s="5" t="s">
        <v>276</v>
      </c>
      <c r="M114" s="5" t="s">
        <v>272</v>
      </c>
      <c r="N114" s="5">
        <f t="shared" si="33"/>
        <v>2400</v>
      </c>
      <c r="O114" s="5">
        <f t="shared" si="34"/>
        <v>3.75</v>
      </c>
      <c r="P114" s="5"/>
      <c r="Q114" s="5" t="str">
        <f t="shared" si="35"/>
        <v/>
      </c>
      <c r="R114" s="4"/>
      <c r="S114" s="4"/>
      <c r="T114" s="4" t="s">
        <v>277</v>
      </c>
      <c r="U114" s="4" t="s">
        <v>32</v>
      </c>
    </row>
    <row r="115" spans="1:21" ht="30" customHeight="1">
      <c r="A115" s="4">
        <v>111</v>
      </c>
      <c r="B115" s="4" t="s">
        <v>28</v>
      </c>
      <c r="C115" s="5">
        <f t="shared" si="27"/>
        <v>12.1</v>
      </c>
      <c r="D115" s="4"/>
      <c r="E115" s="5" t="str">
        <f t="shared" si="28"/>
        <v/>
      </c>
      <c r="F115" s="5">
        <v>25</v>
      </c>
      <c r="G115" s="5">
        <f t="shared" si="29"/>
        <v>2420</v>
      </c>
      <c r="H115" s="5">
        <f t="shared" si="30"/>
        <v>6.8</v>
      </c>
      <c r="I115" s="5">
        <v>121</v>
      </c>
      <c r="J115" s="5">
        <f t="shared" si="31"/>
        <v>2420</v>
      </c>
      <c r="K115" s="5">
        <f t="shared" si="32"/>
        <v>3.75</v>
      </c>
      <c r="L115" s="5" t="s">
        <v>278</v>
      </c>
      <c r="M115" s="5" t="s">
        <v>279</v>
      </c>
      <c r="N115" s="5">
        <f t="shared" si="33"/>
        <v>2420</v>
      </c>
      <c r="O115" s="5">
        <f t="shared" si="34"/>
        <v>3.75</v>
      </c>
      <c r="P115" s="5"/>
      <c r="Q115" s="5" t="str">
        <f t="shared" si="35"/>
        <v/>
      </c>
      <c r="R115" s="4"/>
      <c r="S115" s="4"/>
      <c r="T115" s="4" t="s">
        <v>280</v>
      </c>
      <c r="U115" s="4" t="s">
        <v>32</v>
      </c>
    </row>
    <row r="116" spans="1:21" ht="30" customHeight="1">
      <c r="A116" s="4">
        <v>112</v>
      </c>
      <c r="B116" s="4" t="s">
        <v>40</v>
      </c>
      <c r="C116" s="5">
        <f t="shared" si="27"/>
        <v>12.2</v>
      </c>
      <c r="D116" s="4"/>
      <c r="E116" s="5" t="str">
        <f t="shared" si="28"/>
        <v/>
      </c>
      <c r="F116" s="5"/>
      <c r="G116" s="5" t="str">
        <f t="shared" si="29"/>
        <v/>
      </c>
      <c r="H116" s="5" t="str">
        <f t="shared" si="30"/>
        <v/>
      </c>
      <c r="I116" s="5"/>
      <c r="J116" s="5" t="str">
        <f t="shared" si="31"/>
        <v/>
      </c>
      <c r="K116" s="5" t="str">
        <f t="shared" si="32"/>
        <v/>
      </c>
      <c r="L116" s="5"/>
      <c r="M116" s="5"/>
      <c r="N116" s="5" t="str">
        <f t="shared" si="33"/>
        <v/>
      </c>
      <c r="O116" s="5" t="str">
        <f t="shared" si="34"/>
        <v/>
      </c>
      <c r="P116" s="5">
        <v>12</v>
      </c>
      <c r="Q116" s="5">
        <f t="shared" si="35"/>
        <v>24400</v>
      </c>
      <c r="R116" s="4">
        <v>2.5</v>
      </c>
      <c r="S116" s="4" t="s">
        <v>281</v>
      </c>
      <c r="T116" s="4" t="s">
        <v>282</v>
      </c>
      <c r="U116" s="4" t="s">
        <v>43</v>
      </c>
    </row>
    <row r="117" spans="1:21" ht="30" customHeight="1">
      <c r="A117" s="4">
        <v>113</v>
      </c>
      <c r="B117" s="4" t="s">
        <v>28</v>
      </c>
      <c r="C117" s="5">
        <f t="shared" si="27"/>
        <v>12.3</v>
      </c>
      <c r="D117" s="4"/>
      <c r="E117" s="5" t="str">
        <f t="shared" si="28"/>
        <v/>
      </c>
      <c r="F117" s="5">
        <v>25</v>
      </c>
      <c r="G117" s="5">
        <f t="shared" si="29"/>
        <v>2460</v>
      </c>
      <c r="H117" s="5">
        <f t="shared" si="30"/>
        <v>6.8</v>
      </c>
      <c r="I117" s="5">
        <v>123</v>
      </c>
      <c r="J117" s="5">
        <f t="shared" si="31"/>
        <v>2460</v>
      </c>
      <c r="K117" s="5">
        <f t="shared" si="32"/>
        <v>3.75</v>
      </c>
      <c r="L117" s="5" t="s">
        <v>283</v>
      </c>
      <c r="M117" s="5" t="s">
        <v>279</v>
      </c>
      <c r="N117" s="5">
        <f t="shared" si="33"/>
        <v>2460</v>
      </c>
      <c r="O117" s="5">
        <f t="shared" si="34"/>
        <v>3.75</v>
      </c>
      <c r="P117" s="5"/>
      <c r="Q117" s="5" t="str">
        <f t="shared" si="35"/>
        <v/>
      </c>
      <c r="R117" s="4"/>
      <c r="S117" s="4"/>
      <c r="T117" s="4" t="s">
        <v>284</v>
      </c>
      <c r="U117" s="4" t="s">
        <v>32</v>
      </c>
    </row>
    <row r="118" spans="1:21" ht="30" customHeight="1">
      <c r="A118" s="4">
        <v>114</v>
      </c>
      <c r="B118" s="4" t="s">
        <v>28</v>
      </c>
      <c r="C118" s="5">
        <f t="shared" si="27"/>
        <v>12.4</v>
      </c>
      <c r="D118" s="4"/>
      <c r="E118" s="5" t="str">
        <f t="shared" si="28"/>
        <v/>
      </c>
      <c r="F118" s="5">
        <v>25</v>
      </c>
      <c r="G118" s="5">
        <f t="shared" si="29"/>
        <v>2480</v>
      </c>
      <c r="H118" s="5">
        <f t="shared" si="30"/>
        <v>6.8</v>
      </c>
      <c r="I118" s="5">
        <v>124</v>
      </c>
      <c r="J118" s="5">
        <f t="shared" si="31"/>
        <v>2480</v>
      </c>
      <c r="K118" s="5">
        <f t="shared" si="32"/>
        <v>3.75</v>
      </c>
      <c r="L118" s="5" t="s">
        <v>285</v>
      </c>
      <c r="M118" s="5" t="s">
        <v>286</v>
      </c>
      <c r="N118" s="5">
        <f t="shared" si="33"/>
        <v>2480</v>
      </c>
      <c r="O118" s="5">
        <f t="shared" si="34"/>
        <v>3.75</v>
      </c>
      <c r="P118" s="5"/>
      <c r="Q118" s="5" t="str">
        <f t="shared" si="35"/>
        <v/>
      </c>
      <c r="R118" s="4"/>
      <c r="S118" s="4"/>
      <c r="T118" s="4" t="s">
        <v>287</v>
      </c>
      <c r="U118" s="4" t="s">
        <v>32</v>
      </c>
    </row>
    <row r="119" spans="1:21" ht="30" customHeight="1">
      <c r="A119" s="4">
        <v>115</v>
      </c>
      <c r="B119" s="4" t="s">
        <v>28</v>
      </c>
      <c r="C119" s="5">
        <f t="shared" si="27"/>
        <v>12.5</v>
      </c>
      <c r="D119" s="4"/>
      <c r="E119" s="5" t="str">
        <f t="shared" si="28"/>
        <v/>
      </c>
      <c r="F119" s="5">
        <v>25</v>
      </c>
      <c r="G119" s="5">
        <f t="shared" si="29"/>
        <v>2500</v>
      </c>
      <c r="H119" s="5">
        <f t="shared" si="30"/>
        <v>6.8</v>
      </c>
      <c r="I119" s="5">
        <v>125</v>
      </c>
      <c r="J119" s="5">
        <f t="shared" si="31"/>
        <v>2500</v>
      </c>
      <c r="K119" s="5">
        <f t="shared" si="32"/>
        <v>3.75</v>
      </c>
      <c r="L119" s="5" t="s">
        <v>288</v>
      </c>
      <c r="M119" s="5" t="s">
        <v>286</v>
      </c>
      <c r="N119" s="5">
        <f t="shared" si="33"/>
        <v>2500</v>
      </c>
      <c r="O119" s="5">
        <f t="shared" si="34"/>
        <v>3.75</v>
      </c>
      <c r="P119" s="5"/>
      <c r="Q119" s="5" t="str">
        <f t="shared" si="35"/>
        <v/>
      </c>
      <c r="R119" s="4"/>
      <c r="S119" s="4"/>
      <c r="T119" s="4" t="s">
        <v>289</v>
      </c>
      <c r="U119" s="4" t="s">
        <v>32</v>
      </c>
    </row>
    <row r="120" spans="1:21" ht="30" customHeight="1">
      <c r="A120" s="4">
        <v>116</v>
      </c>
      <c r="B120" s="4" t="s">
        <v>28</v>
      </c>
      <c r="C120" s="5">
        <f t="shared" si="27"/>
        <v>12.6</v>
      </c>
      <c r="D120" s="4"/>
      <c r="E120" s="5" t="str">
        <f t="shared" si="28"/>
        <v/>
      </c>
      <c r="F120" s="5">
        <v>26</v>
      </c>
      <c r="G120" s="5">
        <f t="shared" si="29"/>
        <v>2520</v>
      </c>
      <c r="H120" s="5">
        <f t="shared" si="30"/>
        <v>6.8</v>
      </c>
      <c r="I120" s="5">
        <v>126</v>
      </c>
      <c r="J120" s="5">
        <f t="shared" si="31"/>
        <v>2520</v>
      </c>
      <c r="K120" s="5">
        <f t="shared" si="32"/>
        <v>3.75</v>
      </c>
      <c r="L120" s="5" t="s">
        <v>290</v>
      </c>
      <c r="M120" s="5" t="s">
        <v>286</v>
      </c>
      <c r="N120" s="5">
        <f t="shared" si="33"/>
        <v>2520</v>
      </c>
      <c r="O120" s="5">
        <f t="shared" si="34"/>
        <v>3.75</v>
      </c>
      <c r="P120" s="5"/>
      <c r="Q120" s="5" t="str">
        <f t="shared" si="35"/>
        <v/>
      </c>
      <c r="R120" s="4"/>
      <c r="S120" s="4"/>
      <c r="T120" s="4" t="s">
        <v>291</v>
      </c>
      <c r="U120" s="4" t="s">
        <v>32</v>
      </c>
    </row>
    <row r="121" spans="1:21" ht="30" customHeight="1">
      <c r="A121" s="4">
        <v>117</v>
      </c>
      <c r="B121" s="4" t="s">
        <v>28</v>
      </c>
      <c r="C121" s="5">
        <f t="shared" si="27"/>
        <v>12.7</v>
      </c>
      <c r="D121" s="4"/>
      <c r="E121" s="5" t="str">
        <f t="shared" si="28"/>
        <v/>
      </c>
      <c r="F121" s="5">
        <v>26</v>
      </c>
      <c r="G121" s="5">
        <f t="shared" si="29"/>
        <v>2540</v>
      </c>
      <c r="H121" s="5">
        <f t="shared" si="30"/>
        <v>6.8</v>
      </c>
      <c r="I121" s="5">
        <v>127</v>
      </c>
      <c r="J121" s="5">
        <f t="shared" si="31"/>
        <v>2540</v>
      </c>
      <c r="K121" s="5">
        <f t="shared" si="32"/>
        <v>3.75</v>
      </c>
      <c r="L121" s="5" t="s">
        <v>292</v>
      </c>
      <c r="M121" s="5" t="s">
        <v>293</v>
      </c>
      <c r="N121" s="5">
        <f t="shared" si="33"/>
        <v>2540</v>
      </c>
      <c r="O121" s="5">
        <f t="shared" si="34"/>
        <v>3.75</v>
      </c>
      <c r="P121" s="5"/>
      <c r="Q121" s="5" t="str">
        <f t="shared" si="35"/>
        <v/>
      </c>
      <c r="R121" s="4"/>
      <c r="S121" s="4"/>
      <c r="T121" s="4" t="s">
        <v>294</v>
      </c>
      <c r="U121" s="4" t="s">
        <v>32</v>
      </c>
    </row>
    <row r="122" spans="1:21" ht="30" customHeight="1">
      <c r="A122" s="4">
        <v>118</v>
      </c>
      <c r="B122" s="4" t="s">
        <v>28</v>
      </c>
      <c r="C122" s="5">
        <f t="shared" si="27"/>
        <v>12.8</v>
      </c>
      <c r="D122" s="4"/>
      <c r="E122" s="5" t="str">
        <f t="shared" si="28"/>
        <v/>
      </c>
      <c r="F122" s="5">
        <v>26</v>
      </c>
      <c r="G122" s="5">
        <f t="shared" si="29"/>
        <v>2560</v>
      </c>
      <c r="H122" s="5">
        <f t="shared" si="30"/>
        <v>6.8</v>
      </c>
      <c r="I122" s="5">
        <v>128</v>
      </c>
      <c r="J122" s="5">
        <f t="shared" si="31"/>
        <v>2560</v>
      </c>
      <c r="K122" s="5">
        <f t="shared" si="32"/>
        <v>3.75</v>
      </c>
      <c r="L122" s="5" t="s">
        <v>295</v>
      </c>
      <c r="M122" s="5" t="s">
        <v>293</v>
      </c>
      <c r="N122" s="5">
        <f t="shared" si="33"/>
        <v>2560</v>
      </c>
      <c r="O122" s="5">
        <f t="shared" si="34"/>
        <v>3.75</v>
      </c>
      <c r="P122" s="5"/>
      <c r="Q122" s="5" t="str">
        <f t="shared" si="35"/>
        <v/>
      </c>
      <c r="R122" s="4"/>
      <c r="S122" s="4"/>
      <c r="T122" s="4" t="s">
        <v>296</v>
      </c>
      <c r="U122" s="4" t="s">
        <v>32</v>
      </c>
    </row>
    <row r="123" spans="1:21" ht="30" customHeight="1">
      <c r="A123" s="4">
        <v>119</v>
      </c>
      <c r="B123" s="4" t="s">
        <v>28</v>
      </c>
      <c r="C123" s="5">
        <f t="shared" si="27"/>
        <v>12.9</v>
      </c>
      <c r="D123" s="4"/>
      <c r="E123" s="5" t="str">
        <f t="shared" si="28"/>
        <v/>
      </c>
      <c r="F123" s="5">
        <v>26</v>
      </c>
      <c r="G123" s="5">
        <f t="shared" si="29"/>
        <v>2580</v>
      </c>
      <c r="H123" s="5">
        <f t="shared" si="30"/>
        <v>6.8</v>
      </c>
      <c r="I123" s="5">
        <v>129</v>
      </c>
      <c r="J123" s="5">
        <f t="shared" si="31"/>
        <v>2580</v>
      </c>
      <c r="K123" s="5">
        <f t="shared" si="32"/>
        <v>3.75</v>
      </c>
      <c r="L123" s="5" t="s">
        <v>297</v>
      </c>
      <c r="M123" s="5" t="s">
        <v>293</v>
      </c>
      <c r="N123" s="5">
        <f t="shared" si="33"/>
        <v>2580</v>
      </c>
      <c r="O123" s="5">
        <f t="shared" si="34"/>
        <v>3.75</v>
      </c>
      <c r="P123" s="5"/>
      <c r="Q123" s="5" t="str">
        <f t="shared" si="35"/>
        <v/>
      </c>
      <c r="R123" s="4"/>
      <c r="S123" s="4"/>
      <c r="T123" s="4" t="s">
        <v>298</v>
      </c>
      <c r="U123" s="4" t="s">
        <v>32</v>
      </c>
    </row>
    <row r="124" spans="1:21" ht="30" customHeight="1">
      <c r="A124" s="4">
        <v>120</v>
      </c>
      <c r="B124" s="4" t="s">
        <v>40</v>
      </c>
      <c r="C124" s="5">
        <f t="shared" si="27"/>
        <v>13</v>
      </c>
      <c r="D124" s="4"/>
      <c r="E124" s="5" t="str">
        <f t="shared" si="28"/>
        <v/>
      </c>
      <c r="F124" s="5"/>
      <c r="G124" s="5" t="str">
        <f t="shared" si="29"/>
        <v/>
      </c>
      <c r="H124" s="5" t="str">
        <f t="shared" si="30"/>
        <v/>
      </c>
      <c r="I124" s="5"/>
      <c r="J124" s="5" t="str">
        <f t="shared" si="31"/>
        <v/>
      </c>
      <c r="K124" s="5" t="str">
        <f t="shared" si="32"/>
        <v/>
      </c>
      <c r="L124" s="5"/>
      <c r="M124" s="5"/>
      <c r="N124" s="5" t="str">
        <f t="shared" si="33"/>
        <v/>
      </c>
      <c r="O124" s="5" t="str">
        <f t="shared" si="34"/>
        <v/>
      </c>
      <c r="P124" s="5">
        <v>12</v>
      </c>
      <c r="Q124" s="5">
        <f t="shared" si="35"/>
        <v>26000</v>
      </c>
      <c r="R124" s="4">
        <v>2.5</v>
      </c>
      <c r="S124" s="4" t="s">
        <v>281</v>
      </c>
      <c r="T124" s="4" t="s">
        <v>282</v>
      </c>
      <c r="U124" s="4" t="s">
        <v>43</v>
      </c>
    </row>
    <row r="125" spans="1:21" ht="30" customHeight="1">
      <c r="A125" s="4">
        <v>121</v>
      </c>
      <c r="B125" s="4" t="s">
        <v>28</v>
      </c>
      <c r="C125" s="5">
        <f t="shared" si="27"/>
        <v>13.1</v>
      </c>
      <c r="D125" s="4"/>
      <c r="E125" s="5" t="str">
        <f t="shared" si="28"/>
        <v/>
      </c>
      <c r="F125" s="5">
        <v>27</v>
      </c>
      <c r="G125" s="5">
        <f t="shared" si="29"/>
        <v>2620</v>
      </c>
      <c r="H125" s="5">
        <f t="shared" si="30"/>
        <v>6.8</v>
      </c>
      <c r="I125" s="5">
        <v>131</v>
      </c>
      <c r="J125" s="5">
        <f t="shared" si="31"/>
        <v>2620</v>
      </c>
      <c r="K125" s="5">
        <f t="shared" si="32"/>
        <v>3.75</v>
      </c>
      <c r="L125" s="5" t="s">
        <v>299</v>
      </c>
      <c r="M125" s="5" t="s">
        <v>300</v>
      </c>
      <c r="N125" s="5">
        <f t="shared" si="33"/>
        <v>2620</v>
      </c>
      <c r="O125" s="5">
        <f t="shared" si="34"/>
        <v>3.75</v>
      </c>
      <c r="P125" s="5"/>
      <c r="Q125" s="5" t="str">
        <f t="shared" si="35"/>
        <v/>
      </c>
      <c r="R125" s="4"/>
      <c r="S125" s="4"/>
      <c r="T125" s="4" t="s">
        <v>301</v>
      </c>
      <c r="U125" s="4" t="s">
        <v>32</v>
      </c>
    </row>
    <row r="126" spans="1:21" ht="30" customHeight="1">
      <c r="A126" s="4">
        <v>122</v>
      </c>
      <c r="B126" s="4" t="s">
        <v>28</v>
      </c>
      <c r="C126" s="5">
        <f t="shared" si="27"/>
        <v>13.2</v>
      </c>
      <c r="D126" s="4"/>
      <c r="E126" s="5" t="str">
        <f t="shared" si="28"/>
        <v/>
      </c>
      <c r="F126" s="5">
        <v>27</v>
      </c>
      <c r="G126" s="5">
        <f t="shared" si="29"/>
        <v>2640</v>
      </c>
      <c r="H126" s="5">
        <f t="shared" si="30"/>
        <v>6.8</v>
      </c>
      <c r="I126" s="5">
        <v>132</v>
      </c>
      <c r="J126" s="5">
        <f t="shared" si="31"/>
        <v>2640</v>
      </c>
      <c r="K126" s="5">
        <f t="shared" si="32"/>
        <v>3.75</v>
      </c>
      <c r="L126" s="5" t="s">
        <v>302</v>
      </c>
      <c r="M126" s="5" t="s">
        <v>300</v>
      </c>
      <c r="N126" s="5">
        <f t="shared" si="33"/>
        <v>2640</v>
      </c>
      <c r="O126" s="5">
        <f t="shared" si="34"/>
        <v>3.75</v>
      </c>
      <c r="P126" s="5"/>
      <c r="Q126" s="5" t="str">
        <f t="shared" si="35"/>
        <v/>
      </c>
      <c r="R126" s="4"/>
      <c r="S126" s="4"/>
      <c r="T126" s="4" t="s">
        <v>303</v>
      </c>
      <c r="U126" s="4" t="s">
        <v>32</v>
      </c>
    </row>
    <row r="127" spans="1:21" ht="30" customHeight="1">
      <c r="A127" s="4">
        <v>123</v>
      </c>
      <c r="B127" s="4" t="s">
        <v>28</v>
      </c>
      <c r="C127" s="5">
        <f t="shared" si="27"/>
        <v>13.3</v>
      </c>
      <c r="D127" s="4"/>
      <c r="E127" s="5" t="str">
        <f t="shared" si="28"/>
        <v/>
      </c>
      <c r="F127" s="5">
        <v>27</v>
      </c>
      <c r="G127" s="5">
        <f t="shared" si="29"/>
        <v>2660</v>
      </c>
      <c r="H127" s="5">
        <f t="shared" si="30"/>
        <v>6.8</v>
      </c>
      <c r="I127" s="5">
        <v>133</v>
      </c>
      <c r="J127" s="5">
        <f t="shared" si="31"/>
        <v>2660</v>
      </c>
      <c r="K127" s="5">
        <f t="shared" si="32"/>
        <v>3.75</v>
      </c>
      <c r="L127" s="5" t="s">
        <v>304</v>
      </c>
      <c r="M127" s="5" t="s">
        <v>305</v>
      </c>
      <c r="N127" s="5">
        <f t="shared" si="33"/>
        <v>2660</v>
      </c>
      <c r="O127" s="5">
        <f t="shared" si="34"/>
        <v>3.75</v>
      </c>
      <c r="P127" s="5"/>
      <c r="Q127" s="5" t="str">
        <f t="shared" si="35"/>
        <v/>
      </c>
      <c r="R127" s="4"/>
      <c r="S127" s="4"/>
      <c r="T127" s="4" t="s">
        <v>306</v>
      </c>
      <c r="U127" s="4" t="s">
        <v>32</v>
      </c>
    </row>
    <row r="128" spans="1:21" ht="30" customHeight="1">
      <c r="A128" s="4">
        <v>124</v>
      </c>
      <c r="B128" s="4" t="s">
        <v>28</v>
      </c>
      <c r="C128" s="5">
        <f t="shared" si="27"/>
        <v>13.4</v>
      </c>
      <c r="D128" s="4"/>
      <c r="E128" s="5" t="str">
        <f t="shared" si="28"/>
        <v/>
      </c>
      <c r="F128" s="5">
        <v>27</v>
      </c>
      <c r="G128" s="5">
        <f t="shared" si="29"/>
        <v>2680</v>
      </c>
      <c r="H128" s="5">
        <f t="shared" si="30"/>
        <v>6.8</v>
      </c>
      <c r="I128" s="5">
        <v>134</v>
      </c>
      <c r="J128" s="5">
        <f t="shared" si="31"/>
        <v>2680</v>
      </c>
      <c r="K128" s="5">
        <f t="shared" si="32"/>
        <v>3.75</v>
      </c>
      <c r="L128" s="5" t="s">
        <v>307</v>
      </c>
      <c r="M128" s="5" t="s">
        <v>305</v>
      </c>
      <c r="N128" s="5">
        <f t="shared" si="33"/>
        <v>2680</v>
      </c>
      <c r="O128" s="5">
        <f t="shared" si="34"/>
        <v>3.75</v>
      </c>
      <c r="P128" s="5"/>
      <c r="Q128" s="5" t="str">
        <f t="shared" si="35"/>
        <v/>
      </c>
      <c r="R128" s="4"/>
      <c r="S128" s="4"/>
      <c r="T128" s="4" t="s">
        <v>308</v>
      </c>
      <c r="U128" s="4" t="s">
        <v>32</v>
      </c>
    </row>
    <row r="129" spans="1:21" ht="30" customHeight="1">
      <c r="A129" s="4">
        <v>125</v>
      </c>
      <c r="B129" s="4" t="s">
        <v>28</v>
      </c>
      <c r="C129" s="5">
        <f t="shared" si="27"/>
        <v>13.5</v>
      </c>
      <c r="D129" s="4"/>
      <c r="E129" s="5" t="str">
        <f t="shared" si="28"/>
        <v/>
      </c>
      <c r="F129" s="5">
        <v>27</v>
      </c>
      <c r="G129" s="5">
        <f t="shared" si="29"/>
        <v>2700</v>
      </c>
      <c r="H129" s="5">
        <f t="shared" si="30"/>
        <v>6.8</v>
      </c>
      <c r="I129" s="5">
        <v>135</v>
      </c>
      <c r="J129" s="5">
        <f t="shared" si="31"/>
        <v>2700</v>
      </c>
      <c r="K129" s="5">
        <f t="shared" si="32"/>
        <v>3.75</v>
      </c>
      <c r="L129" s="5" t="s">
        <v>309</v>
      </c>
      <c r="M129" s="5" t="s">
        <v>305</v>
      </c>
      <c r="N129" s="5">
        <f t="shared" si="33"/>
        <v>2700</v>
      </c>
      <c r="O129" s="5">
        <f t="shared" si="34"/>
        <v>3.75</v>
      </c>
      <c r="P129" s="5"/>
      <c r="Q129" s="5" t="str">
        <f t="shared" si="35"/>
        <v/>
      </c>
      <c r="R129" s="4"/>
      <c r="S129" s="4"/>
      <c r="T129" s="4" t="s">
        <v>310</v>
      </c>
      <c r="U129" s="4" t="s">
        <v>32</v>
      </c>
    </row>
    <row r="130" spans="1:21" ht="30" customHeight="1">
      <c r="A130" s="4">
        <v>126</v>
      </c>
      <c r="B130" s="4" t="s">
        <v>28</v>
      </c>
      <c r="C130" s="5">
        <f t="shared" si="27"/>
        <v>13.6</v>
      </c>
      <c r="D130" s="4"/>
      <c r="E130" s="5" t="str">
        <f t="shared" si="28"/>
        <v/>
      </c>
      <c r="F130" s="5">
        <v>28</v>
      </c>
      <c r="G130" s="5">
        <f t="shared" si="29"/>
        <v>2720</v>
      </c>
      <c r="H130" s="5">
        <f t="shared" si="30"/>
        <v>6.8</v>
      </c>
      <c r="I130" s="5">
        <v>136</v>
      </c>
      <c r="J130" s="5">
        <f t="shared" si="31"/>
        <v>2720</v>
      </c>
      <c r="K130" s="5">
        <f t="shared" si="32"/>
        <v>3.75</v>
      </c>
      <c r="L130" s="5" t="s">
        <v>311</v>
      </c>
      <c r="M130" s="5" t="s">
        <v>312</v>
      </c>
      <c r="N130" s="5">
        <f t="shared" si="33"/>
        <v>2720</v>
      </c>
      <c r="O130" s="5">
        <f t="shared" si="34"/>
        <v>3.75</v>
      </c>
      <c r="P130" s="5"/>
      <c r="Q130" s="5" t="str">
        <f t="shared" si="35"/>
        <v/>
      </c>
      <c r="R130" s="4"/>
      <c r="S130" s="4"/>
      <c r="T130" s="4" t="s">
        <v>313</v>
      </c>
      <c r="U130" s="4" t="s">
        <v>32</v>
      </c>
    </row>
    <row r="131" spans="1:21" ht="30" customHeight="1">
      <c r="A131" s="4">
        <v>127</v>
      </c>
      <c r="B131" s="4" t="s">
        <v>28</v>
      </c>
      <c r="C131" s="5">
        <f t="shared" si="27"/>
        <v>13.7</v>
      </c>
      <c r="D131" s="4"/>
      <c r="E131" s="5" t="str">
        <f t="shared" si="28"/>
        <v/>
      </c>
      <c r="F131" s="5">
        <v>28</v>
      </c>
      <c r="G131" s="5">
        <f t="shared" si="29"/>
        <v>2740</v>
      </c>
      <c r="H131" s="5">
        <f t="shared" si="30"/>
        <v>6.8</v>
      </c>
      <c r="I131" s="5">
        <v>137</v>
      </c>
      <c r="J131" s="5">
        <f t="shared" si="31"/>
        <v>2740</v>
      </c>
      <c r="K131" s="5">
        <f t="shared" si="32"/>
        <v>3.75</v>
      </c>
      <c r="L131" s="5" t="s">
        <v>314</v>
      </c>
      <c r="M131" s="5" t="s">
        <v>312</v>
      </c>
      <c r="N131" s="5">
        <f t="shared" si="33"/>
        <v>2740</v>
      </c>
      <c r="O131" s="5">
        <f t="shared" si="34"/>
        <v>3.75</v>
      </c>
      <c r="P131" s="5"/>
      <c r="Q131" s="5" t="str">
        <f t="shared" si="35"/>
        <v/>
      </c>
      <c r="R131" s="4"/>
      <c r="S131" s="4"/>
      <c r="T131" s="4" t="s">
        <v>315</v>
      </c>
      <c r="U131" s="4" t="s">
        <v>32</v>
      </c>
    </row>
    <row r="132" spans="1:21" ht="30" customHeight="1">
      <c r="A132" s="4">
        <v>128</v>
      </c>
      <c r="B132" s="4" t="s">
        <v>40</v>
      </c>
      <c r="C132" s="5">
        <f t="shared" si="27"/>
        <v>13.8</v>
      </c>
      <c r="D132" s="4"/>
      <c r="E132" s="5" t="str">
        <f t="shared" si="28"/>
        <v/>
      </c>
      <c r="F132" s="5"/>
      <c r="G132" s="5" t="str">
        <f t="shared" si="29"/>
        <v/>
      </c>
      <c r="H132" s="5" t="str">
        <f t="shared" si="30"/>
        <v/>
      </c>
      <c r="I132" s="5"/>
      <c r="J132" s="5" t="str">
        <f t="shared" si="31"/>
        <v/>
      </c>
      <c r="K132" s="5" t="str">
        <f t="shared" si="32"/>
        <v/>
      </c>
      <c r="L132" s="5"/>
      <c r="M132" s="5"/>
      <c r="N132" s="5" t="str">
        <f t="shared" si="33"/>
        <v/>
      </c>
      <c r="O132" s="5" t="str">
        <f t="shared" si="34"/>
        <v/>
      </c>
      <c r="P132" s="5">
        <v>13</v>
      </c>
      <c r="Q132" s="5">
        <f t="shared" si="35"/>
        <v>27600</v>
      </c>
      <c r="R132" s="4">
        <v>2.5</v>
      </c>
      <c r="S132" s="4" t="s">
        <v>316</v>
      </c>
      <c r="T132" s="4" t="s">
        <v>317</v>
      </c>
      <c r="U132" s="4" t="s">
        <v>43</v>
      </c>
    </row>
    <row r="133" spans="1:21" ht="30" customHeight="1">
      <c r="A133" s="4">
        <v>129</v>
      </c>
      <c r="B133" s="4" t="s">
        <v>28</v>
      </c>
      <c r="C133" s="5">
        <f t="shared" ref="C133:C164" si="36">1+A133/10</f>
        <v>13.9</v>
      </c>
      <c r="D133" s="4"/>
      <c r="E133" s="5" t="str">
        <f t="shared" ref="E133:E164" si="37">IF(D133&lt;&gt;"",50*C133,"")</f>
        <v/>
      </c>
      <c r="F133" s="5">
        <v>28</v>
      </c>
      <c r="G133" s="5">
        <f t="shared" ref="G133:G164" si="38">IF(F133&lt;&gt;"",200*C133,"")</f>
        <v>2780</v>
      </c>
      <c r="H133" s="5">
        <f t="shared" ref="H133:H164" si="39">IF(F133&lt;&gt;"",MIN(4*(1+A133/30),4*1.7),"")</f>
        <v>6.8</v>
      </c>
      <c r="I133" s="5">
        <v>139</v>
      </c>
      <c r="J133" s="5">
        <f t="shared" ref="J133:J164" si="40">IF(I133&lt;&gt;"",200*C133,"")</f>
        <v>2780</v>
      </c>
      <c r="K133" s="5">
        <f t="shared" ref="K133:K164" si="41">IF(I133&lt;&gt;"",2.5*MIN(1+A133/30,1.5),"")</f>
        <v>3.75</v>
      </c>
      <c r="L133" s="5" t="s">
        <v>318</v>
      </c>
      <c r="M133" s="5" t="s">
        <v>319</v>
      </c>
      <c r="N133" s="5">
        <f t="shared" ref="N133:N164" si="42">IF(M133&lt;&gt;"",200*C133,"")</f>
        <v>2780</v>
      </c>
      <c r="O133" s="5">
        <f t="shared" ref="O133:O164" si="43">IF(M133&lt;&gt;"",2.5*MIN(1+A133/30,1.5),"")</f>
        <v>3.75</v>
      </c>
      <c r="P133" s="5"/>
      <c r="Q133" s="5" t="str">
        <f t="shared" ref="Q133:Q164" si="44">IF(P133&lt;&gt;"",2000*C133,"")</f>
        <v/>
      </c>
      <c r="R133" s="4"/>
      <c r="S133" s="4"/>
      <c r="T133" s="4" t="s">
        <v>320</v>
      </c>
      <c r="U133" s="4" t="s">
        <v>32</v>
      </c>
    </row>
    <row r="134" spans="1:21" ht="30" customHeight="1">
      <c r="A134" s="4">
        <v>130</v>
      </c>
      <c r="B134" s="4" t="s">
        <v>28</v>
      </c>
      <c r="C134" s="5">
        <f t="shared" si="36"/>
        <v>14</v>
      </c>
      <c r="D134" s="4"/>
      <c r="E134" s="5" t="str">
        <f t="shared" si="37"/>
        <v/>
      </c>
      <c r="F134" s="5">
        <v>28</v>
      </c>
      <c r="G134" s="5">
        <f t="shared" si="38"/>
        <v>2800</v>
      </c>
      <c r="H134" s="5">
        <f t="shared" si="39"/>
        <v>6.8</v>
      </c>
      <c r="I134" s="5">
        <v>140</v>
      </c>
      <c r="J134" s="5">
        <f t="shared" si="40"/>
        <v>2800</v>
      </c>
      <c r="K134" s="5">
        <f t="shared" si="41"/>
        <v>3.75</v>
      </c>
      <c r="L134" s="5" t="s">
        <v>321</v>
      </c>
      <c r="M134" s="5" t="s">
        <v>319</v>
      </c>
      <c r="N134" s="5">
        <f t="shared" si="42"/>
        <v>2800</v>
      </c>
      <c r="O134" s="5">
        <f t="shared" si="43"/>
        <v>3.75</v>
      </c>
      <c r="P134" s="5"/>
      <c r="Q134" s="5" t="str">
        <f t="shared" si="44"/>
        <v/>
      </c>
      <c r="R134" s="4"/>
      <c r="S134" s="4"/>
      <c r="T134" s="4" t="s">
        <v>322</v>
      </c>
      <c r="U134" s="4" t="s">
        <v>32</v>
      </c>
    </row>
    <row r="135" spans="1:21" ht="30" customHeight="1">
      <c r="A135" s="4">
        <v>131</v>
      </c>
      <c r="B135" s="4" t="s">
        <v>28</v>
      </c>
      <c r="C135" s="5">
        <f t="shared" si="36"/>
        <v>14.1</v>
      </c>
      <c r="D135" s="4"/>
      <c r="E135" s="5" t="str">
        <f t="shared" si="37"/>
        <v/>
      </c>
      <c r="F135" s="5">
        <v>29</v>
      </c>
      <c r="G135" s="5">
        <f t="shared" si="38"/>
        <v>2820</v>
      </c>
      <c r="H135" s="5">
        <f t="shared" si="39"/>
        <v>6.8</v>
      </c>
      <c r="I135" s="5">
        <v>141</v>
      </c>
      <c r="J135" s="5">
        <f t="shared" si="40"/>
        <v>2820</v>
      </c>
      <c r="K135" s="5">
        <f t="shared" si="41"/>
        <v>3.75</v>
      </c>
      <c r="L135" s="5" t="s">
        <v>323</v>
      </c>
      <c r="M135" s="5" t="s">
        <v>319</v>
      </c>
      <c r="N135" s="5">
        <f t="shared" si="42"/>
        <v>2820</v>
      </c>
      <c r="O135" s="5">
        <f t="shared" si="43"/>
        <v>3.75</v>
      </c>
      <c r="P135" s="5"/>
      <c r="Q135" s="5" t="str">
        <f t="shared" si="44"/>
        <v/>
      </c>
      <c r="R135" s="4"/>
      <c r="S135" s="4"/>
      <c r="T135" s="4" t="s">
        <v>324</v>
      </c>
      <c r="U135" s="4" t="s">
        <v>32</v>
      </c>
    </row>
    <row r="136" spans="1:21" ht="30" customHeight="1">
      <c r="A136" s="4">
        <v>132</v>
      </c>
      <c r="B136" s="4" t="s">
        <v>28</v>
      </c>
      <c r="C136" s="5">
        <f t="shared" si="36"/>
        <v>14.2</v>
      </c>
      <c r="D136" s="4"/>
      <c r="E136" s="5" t="str">
        <f t="shared" si="37"/>
        <v/>
      </c>
      <c r="F136" s="5">
        <v>29</v>
      </c>
      <c r="G136" s="5">
        <f t="shared" si="38"/>
        <v>2840</v>
      </c>
      <c r="H136" s="5">
        <f t="shared" si="39"/>
        <v>6.8</v>
      </c>
      <c r="I136" s="5">
        <v>142</v>
      </c>
      <c r="J136" s="5">
        <f t="shared" si="40"/>
        <v>2840</v>
      </c>
      <c r="K136" s="5">
        <f t="shared" si="41"/>
        <v>3.75</v>
      </c>
      <c r="L136" s="5" t="s">
        <v>325</v>
      </c>
      <c r="M136" s="5" t="s">
        <v>326</v>
      </c>
      <c r="N136" s="5">
        <f t="shared" si="42"/>
        <v>2840</v>
      </c>
      <c r="O136" s="5">
        <f t="shared" si="43"/>
        <v>3.75</v>
      </c>
      <c r="P136" s="5"/>
      <c r="Q136" s="5" t="str">
        <f t="shared" si="44"/>
        <v/>
      </c>
      <c r="R136" s="4"/>
      <c r="S136" s="4"/>
      <c r="T136" s="4" t="s">
        <v>327</v>
      </c>
      <c r="U136" s="4" t="s">
        <v>32</v>
      </c>
    </row>
    <row r="137" spans="1:21" ht="30" customHeight="1">
      <c r="A137" s="4">
        <v>133</v>
      </c>
      <c r="B137" s="4" t="s">
        <v>28</v>
      </c>
      <c r="C137" s="5">
        <f t="shared" si="36"/>
        <v>14.3</v>
      </c>
      <c r="D137" s="4"/>
      <c r="E137" s="5" t="str">
        <f t="shared" si="37"/>
        <v/>
      </c>
      <c r="F137" s="5">
        <v>29</v>
      </c>
      <c r="G137" s="5">
        <f t="shared" si="38"/>
        <v>2860</v>
      </c>
      <c r="H137" s="5">
        <f t="shared" si="39"/>
        <v>6.8</v>
      </c>
      <c r="I137" s="5">
        <v>143</v>
      </c>
      <c r="J137" s="5">
        <f t="shared" si="40"/>
        <v>2860</v>
      </c>
      <c r="K137" s="5">
        <f t="shared" si="41"/>
        <v>3.75</v>
      </c>
      <c r="L137" s="5" t="s">
        <v>328</v>
      </c>
      <c r="M137" s="5" t="s">
        <v>326</v>
      </c>
      <c r="N137" s="5">
        <f t="shared" si="42"/>
        <v>2860</v>
      </c>
      <c r="O137" s="5">
        <f t="shared" si="43"/>
        <v>3.75</v>
      </c>
      <c r="P137" s="5"/>
      <c r="Q137" s="5" t="str">
        <f t="shared" si="44"/>
        <v/>
      </c>
      <c r="R137" s="4"/>
      <c r="S137" s="4"/>
      <c r="T137" s="4" t="s">
        <v>329</v>
      </c>
      <c r="U137" s="4" t="s">
        <v>32</v>
      </c>
    </row>
    <row r="138" spans="1:21" ht="30" customHeight="1">
      <c r="A138" s="4">
        <v>134</v>
      </c>
      <c r="B138" s="4" t="s">
        <v>28</v>
      </c>
      <c r="C138" s="5">
        <f t="shared" si="36"/>
        <v>14.4</v>
      </c>
      <c r="D138" s="4"/>
      <c r="E138" s="5" t="str">
        <f t="shared" si="37"/>
        <v/>
      </c>
      <c r="F138" s="5">
        <v>29</v>
      </c>
      <c r="G138" s="5">
        <f t="shared" si="38"/>
        <v>2880</v>
      </c>
      <c r="H138" s="5">
        <f t="shared" si="39"/>
        <v>6.8</v>
      </c>
      <c r="I138" s="5">
        <v>144</v>
      </c>
      <c r="J138" s="5">
        <f t="shared" si="40"/>
        <v>2880</v>
      </c>
      <c r="K138" s="5">
        <f t="shared" si="41"/>
        <v>3.75</v>
      </c>
      <c r="L138" s="5" t="s">
        <v>330</v>
      </c>
      <c r="M138" s="5" t="s">
        <v>326</v>
      </c>
      <c r="N138" s="5">
        <f t="shared" si="42"/>
        <v>2880</v>
      </c>
      <c r="O138" s="5">
        <f t="shared" si="43"/>
        <v>3.75</v>
      </c>
      <c r="P138" s="5"/>
      <c r="Q138" s="5" t="str">
        <f t="shared" si="44"/>
        <v/>
      </c>
      <c r="R138" s="4"/>
      <c r="S138" s="4"/>
      <c r="T138" s="4" t="s">
        <v>331</v>
      </c>
      <c r="U138" s="4" t="s">
        <v>32</v>
      </c>
    </row>
    <row r="139" spans="1:21" ht="30" customHeight="1">
      <c r="A139" s="4">
        <v>135</v>
      </c>
      <c r="B139" s="4" t="s">
        <v>28</v>
      </c>
      <c r="C139" s="5">
        <f t="shared" si="36"/>
        <v>14.5</v>
      </c>
      <c r="D139" s="4"/>
      <c r="E139" s="5" t="str">
        <f t="shared" si="37"/>
        <v/>
      </c>
      <c r="F139" s="5">
        <v>29</v>
      </c>
      <c r="G139" s="5">
        <f t="shared" si="38"/>
        <v>2900</v>
      </c>
      <c r="H139" s="5">
        <f t="shared" si="39"/>
        <v>6.8</v>
      </c>
      <c r="I139" s="5">
        <v>145</v>
      </c>
      <c r="J139" s="5">
        <f t="shared" si="40"/>
        <v>2900</v>
      </c>
      <c r="K139" s="5">
        <f t="shared" si="41"/>
        <v>3.75</v>
      </c>
      <c r="L139" s="5" t="s">
        <v>332</v>
      </c>
      <c r="M139" s="5" t="s">
        <v>333</v>
      </c>
      <c r="N139" s="5">
        <f t="shared" si="42"/>
        <v>2900</v>
      </c>
      <c r="O139" s="5">
        <f t="shared" si="43"/>
        <v>3.75</v>
      </c>
      <c r="P139" s="5"/>
      <c r="Q139" s="5" t="str">
        <f t="shared" si="44"/>
        <v/>
      </c>
      <c r="R139" s="4"/>
      <c r="S139" s="4"/>
      <c r="T139" s="4" t="s">
        <v>334</v>
      </c>
      <c r="U139" s="4" t="s">
        <v>32</v>
      </c>
    </row>
    <row r="140" spans="1:21" ht="30" customHeight="1">
      <c r="A140" s="4">
        <v>136</v>
      </c>
      <c r="B140" s="4" t="s">
        <v>40</v>
      </c>
      <c r="C140" s="5">
        <f t="shared" si="36"/>
        <v>14.6</v>
      </c>
      <c r="D140" s="4"/>
      <c r="E140" s="5" t="str">
        <f t="shared" si="37"/>
        <v/>
      </c>
      <c r="F140" s="5"/>
      <c r="G140" s="5" t="str">
        <f t="shared" si="38"/>
        <v/>
      </c>
      <c r="H140" s="5" t="str">
        <f t="shared" si="39"/>
        <v/>
      </c>
      <c r="I140" s="5"/>
      <c r="J140" s="5" t="str">
        <f t="shared" si="40"/>
        <v/>
      </c>
      <c r="K140" s="5" t="str">
        <f t="shared" si="41"/>
        <v/>
      </c>
      <c r="L140" s="5"/>
      <c r="M140" s="5"/>
      <c r="N140" s="5" t="str">
        <f t="shared" si="42"/>
        <v/>
      </c>
      <c r="O140" s="5" t="str">
        <f t="shared" si="43"/>
        <v/>
      </c>
      <c r="P140" s="5">
        <v>14</v>
      </c>
      <c r="Q140" s="5">
        <f t="shared" si="44"/>
        <v>29200</v>
      </c>
      <c r="R140" s="4">
        <v>2.5</v>
      </c>
      <c r="S140" s="4" t="s">
        <v>335</v>
      </c>
      <c r="T140" s="4" t="s">
        <v>336</v>
      </c>
      <c r="U140" s="4" t="s">
        <v>43</v>
      </c>
    </row>
    <row r="141" spans="1:21" ht="30" customHeight="1">
      <c r="A141" s="4">
        <v>137</v>
      </c>
      <c r="B141" s="4" t="s">
        <v>28</v>
      </c>
      <c r="C141" s="5">
        <f t="shared" si="36"/>
        <v>14.7</v>
      </c>
      <c r="D141" s="4"/>
      <c r="E141" s="5" t="str">
        <f t="shared" si="37"/>
        <v/>
      </c>
      <c r="F141" s="5">
        <v>30</v>
      </c>
      <c r="G141" s="5">
        <f t="shared" si="38"/>
        <v>2940</v>
      </c>
      <c r="H141" s="5">
        <f t="shared" si="39"/>
        <v>6.8</v>
      </c>
      <c r="I141" s="5">
        <v>147</v>
      </c>
      <c r="J141" s="5">
        <f t="shared" si="40"/>
        <v>2940</v>
      </c>
      <c r="K141" s="5">
        <f t="shared" si="41"/>
        <v>3.75</v>
      </c>
      <c r="L141" s="5" t="s">
        <v>337</v>
      </c>
      <c r="M141" s="5" t="s">
        <v>333</v>
      </c>
      <c r="N141" s="5">
        <f t="shared" si="42"/>
        <v>2940</v>
      </c>
      <c r="O141" s="5">
        <f t="shared" si="43"/>
        <v>3.75</v>
      </c>
      <c r="P141" s="5"/>
      <c r="Q141" s="5" t="str">
        <f t="shared" si="44"/>
        <v/>
      </c>
      <c r="R141" s="4"/>
      <c r="S141" s="4"/>
      <c r="T141" s="4" t="s">
        <v>338</v>
      </c>
      <c r="U141" s="4" t="s">
        <v>32</v>
      </c>
    </row>
    <row r="142" spans="1:21" ht="30" customHeight="1">
      <c r="A142" s="4">
        <v>138</v>
      </c>
      <c r="B142" s="4" t="s">
        <v>28</v>
      </c>
      <c r="C142" s="5">
        <f t="shared" si="36"/>
        <v>14.8</v>
      </c>
      <c r="D142" s="4"/>
      <c r="E142" s="5" t="str">
        <f t="shared" si="37"/>
        <v/>
      </c>
      <c r="F142" s="5">
        <v>30</v>
      </c>
      <c r="G142" s="5">
        <f t="shared" si="38"/>
        <v>2960</v>
      </c>
      <c r="H142" s="5">
        <f t="shared" si="39"/>
        <v>6.8</v>
      </c>
      <c r="I142" s="5">
        <v>148</v>
      </c>
      <c r="J142" s="5">
        <f t="shared" si="40"/>
        <v>2960</v>
      </c>
      <c r="K142" s="5">
        <f t="shared" si="41"/>
        <v>3.75</v>
      </c>
      <c r="L142" s="5" t="s">
        <v>339</v>
      </c>
      <c r="M142" s="5" t="s">
        <v>340</v>
      </c>
      <c r="N142" s="5">
        <f t="shared" si="42"/>
        <v>2960</v>
      </c>
      <c r="O142" s="5">
        <f t="shared" si="43"/>
        <v>3.75</v>
      </c>
      <c r="P142" s="5"/>
      <c r="Q142" s="5" t="str">
        <f t="shared" si="44"/>
        <v/>
      </c>
      <c r="R142" s="4"/>
      <c r="S142" s="4"/>
      <c r="T142" s="4" t="s">
        <v>341</v>
      </c>
      <c r="U142" s="4" t="s">
        <v>32</v>
      </c>
    </row>
    <row r="143" spans="1:21" ht="30" customHeight="1">
      <c r="A143" s="4">
        <v>139</v>
      </c>
      <c r="B143" s="4" t="s">
        <v>28</v>
      </c>
      <c r="C143" s="5">
        <f t="shared" si="36"/>
        <v>14.9</v>
      </c>
      <c r="D143" s="4"/>
      <c r="E143" s="5" t="str">
        <f t="shared" si="37"/>
        <v/>
      </c>
      <c r="F143" s="5">
        <v>30</v>
      </c>
      <c r="G143" s="5">
        <f t="shared" si="38"/>
        <v>2980</v>
      </c>
      <c r="H143" s="5">
        <f t="shared" si="39"/>
        <v>6.8</v>
      </c>
      <c r="I143" s="5">
        <v>149</v>
      </c>
      <c r="J143" s="5">
        <f t="shared" si="40"/>
        <v>2980</v>
      </c>
      <c r="K143" s="5">
        <f t="shared" si="41"/>
        <v>3.75</v>
      </c>
      <c r="L143" s="5" t="s">
        <v>342</v>
      </c>
      <c r="M143" s="5" t="s">
        <v>340</v>
      </c>
      <c r="N143" s="5">
        <f t="shared" si="42"/>
        <v>2980</v>
      </c>
      <c r="O143" s="5">
        <f t="shared" si="43"/>
        <v>3.75</v>
      </c>
      <c r="P143" s="5"/>
      <c r="Q143" s="5" t="str">
        <f t="shared" si="44"/>
        <v/>
      </c>
      <c r="R143" s="4"/>
      <c r="S143" s="4"/>
      <c r="T143" s="4" t="s">
        <v>343</v>
      </c>
      <c r="U143" s="4" t="s">
        <v>32</v>
      </c>
    </row>
    <row r="144" spans="1:21" ht="30" customHeight="1">
      <c r="A144" s="4">
        <v>140</v>
      </c>
      <c r="B144" s="4" t="s">
        <v>28</v>
      </c>
      <c r="C144" s="5">
        <f t="shared" si="36"/>
        <v>15</v>
      </c>
      <c r="D144" s="4"/>
      <c r="E144" s="5" t="str">
        <f t="shared" si="37"/>
        <v/>
      </c>
      <c r="F144" s="5">
        <v>30</v>
      </c>
      <c r="G144" s="5">
        <f t="shared" si="38"/>
        <v>3000</v>
      </c>
      <c r="H144" s="5">
        <f t="shared" si="39"/>
        <v>6.8</v>
      </c>
      <c r="I144" s="5">
        <v>150</v>
      </c>
      <c r="J144" s="5">
        <f t="shared" si="40"/>
        <v>3000</v>
      </c>
      <c r="K144" s="5">
        <f t="shared" si="41"/>
        <v>3.75</v>
      </c>
      <c r="L144" s="5" t="s">
        <v>344</v>
      </c>
      <c r="M144" s="5" t="s">
        <v>340</v>
      </c>
      <c r="N144" s="5">
        <f t="shared" si="42"/>
        <v>3000</v>
      </c>
      <c r="O144" s="5">
        <f t="shared" si="43"/>
        <v>3.75</v>
      </c>
      <c r="P144" s="5"/>
      <c r="Q144" s="5" t="str">
        <f t="shared" si="44"/>
        <v/>
      </c>
      <c r="R144" s="4"/>
      <c r="S144" s="4"/>
      <c r="T144" s="4" t="s">
        <v>345</v>
      </c>
      <c r="U144" s="4" t="s">
        <v>32</v>
      </c>
    </row>
    <row r="145" spans="1:21" ht="30" customHeight="1">
      <c r="A145" s="4">
        <v>141</v>
      </c>
      <c r="B145" s="4" t="s">
        <v>28</v>
      </c>
      <c r="C145" s="5">
        <f t="shared" si="36"/>
        <v>15.1</v>
      </c>
      <c r="D145" s="4"/>
      <c r="E145" s="5" t="str">
        <f t="shared" si="37"/>
        <v/>
      </c>
      <c r="F145" s="5">
        <v>31</v>
      </c>
      <c r="G145" s="5">
        <f t="shared" si="38"/>
        <v>3020</v>
      </c>
      <c r="H145" s="5">
        <f t="shared" si="39"/>
        <v>6.8</v>
      </c>
      <c r="I145" s="5">
        <v>151</v>
      </c>
      <c r="J145" s="5">
        <f t="shared" si="40"/>
        <v>3020</v>
      </c>
      <c r="K145" s="5">
        <f t="shared" si="41"/>
        <v>3.75</v>
      </c>
      <c r="L145" s="5" t="s">
        <v>346</v>
      </c>
      <c r="M145" s="5" t="s">
        <v>347</v>
      </c>
      <c r="N145" s="5">
        <f t="shared" si="42"/>
        <v>3020</v>
      </c>
      <c r="O145" s="5">
        <f t="shared" si="43"/>
        <v>3.75</v>
      </c>
      <c r="P145" s="5"/>
      <c r="Q145" s="5" t="str">
        <f t="shared" si="44"/>
        <v/>
      </c>
      <c r="R145" s="4"/>
      <c r="S145" s="4"/>
      <c r="T145" s="4" t="s">
        <v>348</v>
      </c>
      <c r="U145" s="4" t="s">
        <v>32</v>
      </c>
    </row>
    <row r="146" spans="1:21" ht="30" customHeight="1">
      <c r="A146" s="4">
        <v>142</v>
      </c>
      <c r="B146" s="4" t="s">
        <v>28</v>
      </c>
      <c r="C146" s="5">
        <f t="shared" si="36"/>
        <v>15.2</v>
      </c>
      <c r="D146" s="4"/>
      <c r="E146" s="5" t="str">
        <f t="shared" si="37"/>
        <v/>
      </c>
      <c r="F146" s="5">
        <v>31</v>
      </c>
      <c r="G146" s="5">
        <f t="shared" si="38"/>
        <v>3040</v>
      </c>
      <c r="H146" s="5">
        <f t="shared" si="39"/>
        <v>6.8</v>
      </c>
      <c r="I146" s="5">
        <v>152</v>
      </c>
      <c r="J146" s="5">
        <f t="shared" si="40"/>
        <v>3040</v>
      </c>
      <c r="K146" s="5">
        <f t="shared" si="41"/>
        <v>3.75</v>
      </c>
      <c r="L146" s="5" t="s">
        <v>349</v>
      </c>
      <c r="M146" s="5" t="s">
        <v>347</v>
      </c>
      <c r="N146" s="5">
        <f t="shared" si="42"/>
        <v>3040</v>
      </c>
      <c r="O146" s="5">
        <f t="shared" si="43"/>
        <v>3.75</v>
      </c>
      <c r="P146" s="5"/>
      <c r="Q146" s="5" t="str">
        <f t="shared" si="44"/>
        <v/>
      </c>
      <c r="R146" s="4"/>
      <c r="S146" s="4"/>
      <c r="T146" s="4" t="s">
        <v>350</v>
      </c>
      <c r="U146" s="4" t="s">
        <v>32</v>
      </c>
    </row>
    <row r="147" spans="1:21" ht="30" customHeight="1">
      <c r="A147" s="4">
        <v>143</v>
      </c>
      <c r="B147" s="4" t="s">
        <v>28</v>
      </c>
      <c r="C147" s="5">
        <f t="shared" si="36"/>
        <v>15.3</v>
      </c>
      <c r="D147" s="4"/>
      <c r="E147" s="5" t="str">
        <f t="shared" si="37"/>
        <v/>
      </c>
      <c r="F147" s="5">
        <v>31</v>
      </c>
      <c r="G147" s="5">
        <f t="shared" si="38"/>
        <v>3060</v>
      </c>
      <c r="H147" s="5">
        <f t="shared" si="39"/>
        <v>6.8</v>
      </c>
      <c r="I147" s="5">
        <v>153</v>
      </c>
      <c r="J147" s="5">
        <f t="shared" si="40"/>
        <v>3060</v>
      </c>
      <c r="K147" s="5">
        <f t="shared" si="41"/>
        <v>3.75</v>
      </c>
      <c r="L147" s="5" t="s">
        <v>351</v>
      </c>
      <c r="M147" s="5" t="s">
        <v>347</v>
      </c>
      <c r="N147" s="5">
        <f t="shared" si="42"/>
        <v>3060</v>
      </c>
      <c r="O147" s="5">
        <f t="shared" si="43"/>
        <v>3.75</v>
      </c>
      <c r="P147" s="5"/>
      <c r="Q147" s="5" t="str">
        <f t="shared" si="44"/>
        <v/>
      </c>
      <c r="R147" s="4"/>
      <c r="S147" s="4"/>
      <c r="T147" s="4" t="s">
        <v>352</v>
      </c>
      <c r="U147" s="4" t="s">
        <v>32</v>
      </c>
    </row>
    <row r="148" spans="1:21" ht="30" customHeight="1">
      <c r="A148" s="4">
        <v>144</v>
      </c>
      <c r="B148" s="4" t="s">
        <v>40</v>
      </c>
      <c r="C148" s="5">
        <f t="shared" si="36"/>
        <v>15.4</v>
      </c>
      <c r="D148" s="4"/>
      <c r="E148" s="5" t="str">
        <f t="shared" si="37"/>
        <v/>
      </c>
      <c r="F148" s="5"/>
      <c r="G148" s="5" t="str">
        <f t="shared" si="38"/>
        <v/>
      </c>
      <c r="H148" s="5" t="str">
        <f t="shared" si="39"/>
        <v/>
      </c>
      <c r="I148" s="5"/>
      <c r="J148" s="5" t="str">
        <f t="shared" si="40"/>
        <v/>
      </c>
      <c r="K148" s="5" t="str">
        <f t="shared" si="41"/>
        <v/>
      </c>
      <c r="L148" s="5"/>
      <c r="M148" s="5"/>
      <c r="N148" s="5" t="str">
        <f t="shared" si="42"/>
        <v/>
      </c>
      <c r="O148" s="5" t="str">
        <f t="shared" si="43"/>
        <v/>
      </c>
      <c r="P148" s="5">
        <v>15</v>
      </c>
      <c r="Q148" s="5">
        <f t="shared" si="44"/>
        <v>30800</v>
      </c>
      <c r="R148" s="4">
        <v>2.5</v>
      </c>
      <c r="S148" s="4" t="s">
        <v>353</v>
      </c>
      <c r="T148" s="4" t="s">
        <v>354</v>
      </c>
      <c r="U148" s="4" t="s">
        <v>43</v>
      </c>
    </row>
    <row r="149" spans="1:21" ht="30" customHeight="1">
      <c r="A149" s="4">
        <v>145</v>
      </c>
      <c r="B149" s="4" t="s">
        <v>28</v>
      </c>
      <c r="C149" s="5">
        <f t="shared" si="36"/>
        <v>15.5</v>
      </c>
      <c r="D149" s="4"/>
      <c r="E149" s="5" t="str">
        <f t="shared" si="37"/>
        <v/>
      </c>
      <c r="F149" s="5">
        <v>31</v>
      </c>
      <c r="G149" s="5">
        <f t="shared" si="38"/>
        <v>3100</v>
      </c>
      <c r="H149" s="5">
        <f t="shared" si="39"/>
        <v>6.8</v>
      </c>
      <c r="I149" s="5">
        <v>155</v>
      </c>
      <c r="J149" s="5">
        <f t="shared" si="40"/>
        <v>3100</v>
      </c>
      <c r="K149" s="5">
        <f t="shared" si="41"/>
        <v>3.75</v>
      </c>
      <c r="L149" s="5" t="s">
        <v>355</v>
      </c>
      <c r="M149" s="5" t="s">
        <v>356</v>
      </c>
      <c r="N149" s="5">
        <f t="shared" si="42"/>
        <v>3100</v>
      </c>
      <c r="O149" s="5">
        <f t="shared" si="43"/>
        <v>3.75</v>
      </c>
      <c r="P149" s="5"/>
      <c r="Q149" s="5" t="str">
        <f t="shared" si="44"/>
        <v/>
      </c>
      <c r="R149" s="4"/>
      <c r="S149" s="4"/>
      <c r="T149" s="4" t="s">
        <v>357</v>
      </c>
      <c r="U149" s="4" t="s">
        <v>32</v>
      </c>
    </row>
    <row r="150" spans="1:21" ht="30" customHeight="1">
      <c r="A150" s="4">
        <v>146</v>
      </c>
      <c r="B150" s="4" t="s">
        <v>28</v>
      </c>
      <c r="C150" s="5">
        <f t="shared" si="36"/>
        <v>15.6</v>
      </c>
      <c r="D150" s="4"/>
      <c r="E150" s="5" t="str">
        <f t="shared" si="37"/>
        <v/>
      </c>
      <c r="F150" s="5">
        <v>32</v>
      </c>
      <c r="G150" s="5">
        <f t="shared" si="38"/>
        <v>3120</v>
      </c>
      <c r="H150" s="5">
        <f t="shared" si="39"/>
        <v>6.8</v>
      </c>
      <c r="I150" s="5">
        <v>156</v>
      </c>
      <c r="J150" s="5">
        <f t="shared" si="40"/>
        <v>3120</v>
      </c>
      <c r="K150" s="5">
        <f t="shared" si="41"/>
        <v>3.75</v>
      </c>
      <c r="L150" s="5" t="s">
        <v>358</v>
      </c>
      <c r="M150" s="5" t="s">
        <v>356</v>
      </c>
      <c r="N150" s="5">
        <f t="shared" si="42"/>
        <v>3120</v>
      </c>
      <c r="O150" s="5">
        <f t="shared" si="43"/>
        <v>3.75</v>
      </c>
      <c r="P150" s="5"/>
      <c r="Q150" s="5" t="str">
        <f t="shared" si="44"/>
        <v/>
      </c>
      <c r="R150" s="4"/>
      <c r="S150" s="4"/>
      <c r="T150" s="4" t="s">
        <v>359</v>
      </c>
      <c r="U150" s="4" t="s">
        <v>32</v>
      </c>
    </row>
    <row r="151" spans="1:21" ht="30" customHeight="1">
      <c r="A151" s="4">
        <v>147</v>
      </c>
      <c r="B151" s="4" t="s">
        <v>28</v>
      </c>
      <c r="C151" s="5">
        <f t="shared" si="36"/>
        <v>15.7</v>
      </c>
      <c r="D151" s="4"/>
      <c r="E151" s="5" t="str">
        <f t="shared" si="37"/>
        <v/>
      </c>
      <c r="F151" s="5">
        <v>32</v>
      </c>
      <c r="G151" s="5">
        <f t="shared" si="38"/>
        <v>3140</v>
      </c>
      <c r="H151" s="5">
        <f t="shared" si="39"/>
        <v>6.8</v>
      </c>
      <c r="I151" s="5">
        <v>157</v>
      </c>
      <c r="J151" s="5">
        <f t="shared" si="40"/>
        <v>3140</v>
      </c>
      <c r="K151" s="5">
        <f t="shared" si="41"/>
        <v>3.75</v>
      </c>
      <c r="L151" s="5" t="s">
        <v>360</v>
      </c>
      <c r="M151" s="5" t="s">
        <v>361</v>
      </c>
      <c r="N151" s="5">
        <f t="shared" si="42"/>
        <v>3140</v>
      </c>
      <c r="O151" s="5">
        <f t="shared" si="43"/>
        <v>3.75</v>
      </c>
      <c r="P151" s="5"/>
      <c r="Q151" s="5" t="str">
        <f t="shared" si="44"/>
        <v/>
      </c>
      <c r="R151" s="4"/>
      <c r="S151" s="4"/>
      <c r="T151" s="4" t="s">
        <v>362</v>
      </c>
      <c r="U151" s="4" t="s">
        <v>32</v>
      </c>
    </row>
    <row r="152" spans="1:21" ht="30" customHeight="1">
      <c r="A152" s="4">
        <v>148</v>
      </c>
      <c r="B152" s="4" t="s">
        <v>28</v>
      </c>
      <c r="C152" s="5">
        <f t="shared" si="36"/>
        <v>15.8</v>
      </c>
      <c r="D152" s="4"/>
      <c r="E152" s="5" t="str">
        <f t="shared" si="37"/>
        <v/>
      </c>
      <c r="F152" s="5">
        <v>32</v>
      </c>
      <c r="G152" s="5">
        <f t="shared" si="38"/>
        <v>3160</v>
      </c>
      <c r="H152" s="5">
        <f t="shared" si="39"/>
        <v>6.8</v>
      </c>
      <c r="I152" s="5">
        <v>158</v>
      </c>
      <c r="J152" s="5">
        <f t="shared" si="40"/>
        <v>3160</v>
      </c>
      <c r="K152" s="5">
        <f t="shared" si="41"/>
        <v>3.75</v>
      </c>
      <c r="L152" s="5" t="s">
        <v>363</v>
      </c>
      <c r="M152" s="5" t="s">
        <v>361</v>
      </c>
      <c r="N152" s="5">
        <f t="shared" si="42"/>
        <v>3160</v>
      </c>
      <c r="O152" s="5">
        <f t="shared" si="43"/>
        <v>3.75</v>
      </c>
      <c r="P152" s="5"/>
      <c r="Q152" s="5" t="str">
        <f t="shared" si="44"/>
        <v/>
      </c>
      <c r="R152" s="4"/>
      <c r="S152" s="4"/>
      <c r="T152" s="4" t="s">
        <v>364</v>
      </c>
      <c r="U152" s="4" t="s">
        <v>32</v>
      </c>
    </row>
    <row r="153" spans="1:21" ht="30" customHeight="1">
      <c r="A153" s="4">
        <v>149</v>
      </c>
      <c r="B153" s="4" t="s">
        <v>28</v>
      </c>
      <c r="C153" s="5">
        <f t="shared" si="36"/>
        <v>15.9</v>
      </c>
      <c r="D153" s="4"/>
      <c r="E153" s="5" t="str">
        <f t="shared" si="37"/>
        <v/>
      </c>
      <c r="F153" s="5">
        <v>32</v>
      </c>
      <c r="G153" s="5">
        <f t="shared" si="38"/>
        <v>3180</v>
      </c>
      <c r="H153" s="5">
        <f t="shared" si="39"/>
        <v>6.8</v>
      </c>
      <c r="I153" s="5">
        <v>159</v>
      </c>
      <c r="J153" s="5">
        <f t="shared" si="40"/>
        <v>3180</v>
      </c>
      <c r="K153" s="5">
        <f t="shared" si="41"/>
        <v>3.75</v>
      </c>
      <c r="L153" s="5" t="s">
        <v>365</v>
      </c>
      <c r="M153" s="5" t="s">
        <v>361</v>
      </c>
      <c r="N153" s="5">
        <f t="shared" si="42"/>
        <v>3180</v>
      </c>
      <c r="O153" s="5">
        <f t="shared" si="43"/>
        <v>3.75</v>
      </c>
      <c r="P153" s="5"/>
      <c r="Q153" s="5" t="str">
        <f t="shared" si="44"/>
        <v/>
      </c>
      <c r="R153" s="4"/>
      <c r="S153" s="4"/>
      <c r="T153" s="4" t="s">
        <v>366</v>
      </c>
      <c r="U153" s="4" t="s">
        <v>32</v>
      </c>
    </row>
    <row r="154" spans="1:21" ht="30" customHeight="1">
      <c r="A154" s="4">
        <v>150</v>
      </c>
      <c r="B154" s="4" t="s">
        <v>28</v>
      </c>
      <c r="C154" s="5">
        <f t="shared" si="36"/>
        <v>16</v>
      </c>
      <c r="D154" s="4"/>
      <c r="E154" s="5" t="str">
        <f t="shared" si="37"/>
        <v/>
      </c>
      <c r="F154" s="5">
        <v>32</v>
      </c>
      <c r="G154" s="5">
        <f t="shared" si="38"/>
        <v>3200</v>
      </c>
      <c r="H154" s="5">
        <f t="shared" si="39"/>
        <v>6.8</v>
      </c>
      <c r="I154" s="5">
        <v>160</v>
      </c>
      <c r="J154" s="5">
        <f t="shared" si="40"/>
        <v>3200</v>
      </c>
      <c r="K154" s="5">
        <f t="shared" si="41"/>
        <v>3.75</v>
      </c>
      <c r="L154" s="5" t="s">
        <v>367</v>
      </c>
      <c r="M154" s="5" t="s">
        <v>368</v>
      </c>
      <c r="N154" s="5">
        <f t="shared" si="42"/>
        <v>3200</v>
      </c>
      <c r="O154" s="5">
        <f t="shared" si="43"/>
        <v>3.75</v>
      </c>
      <c r="P154" s="5"/>
      <c r="Q154" s="5" t="str">
        <f t="shared" si="44"/>
        <v/>
      </c>
      <c r="R154" s="4"/>
      <c r="S154" s="4"/>
      <c r="T154" s="4" t="s">
        <v>369</v>
      </c>
      <c r="U154" s="4" t="s">
        <v>32</v>
      </c>
    </row>
    <row r="155" spans="1:21" ht="30" customHeight="1">
      <c r="A155" s="4">
        <v>151</v>
      </c>
      <c r="B155" s="4" t="s">
        <v>28</v>
      </c>
      <c r="C155" s="5">
        <f t="shared" si="36"/>
        <v>16.100000000000001</v>
      </c>
      <c r="D155" s="4"/>
      <c r="E155" s="5" t="str">
        <f t="shared" si="37"/>
        <v/>
      </c>
      <c r="F155" s="5">
        <v>33</v>
      </c>
      <c r="G155" s="5">
        <f t="shared" si="38"/>
        <v>3220.0000000000005</v>
      </c>
      <c r="H155" s="5">
        <f t="shared" si="39"/>
        <v>6.8</v>
      </c>
      <c r="I155" s="5">
        <v>161</v>
      </c>
      <c r="J155" s="5">
        <f t="shared" si="40"/>
        <v>3220.0000000000005</v>
      </c>
      <c r="K155" s="5">
        <f t="shared" si="41"/>
        <v>3.75</v>
      </c>
      <c r="L155" s="5" t="s">
        <v>370</v>
      </c>
      <c r="M155" s="5" t="s">
        <v>368</v>
      </c>
      <c r="N155" s="5">
        <f t="shared" si="42"/>
        <v>3220.0000000000005</v>
      </c>
      <c r="O155" s="5">
        <f t="shared" si="43"/>
        <v>3.75</v>
      </c>
      <c r="P155" s="5"/>
      <c r="Q155" s="5" t="str">
        <f t="shared" si="44"/>
        <v/>
      </c>
      <c r="R155" s="4"/>
      <c r="S155" s="4"/>
      <c r="T155" s="4" t="s">
        <v>371</v>
      </c>
      <c r="U155" s="4" t="s">
        <v>32</v>
      </c>
    </row>
    <row r="156" spans="1:21" ht="30" customHeight="1">
      <c r="A156" s="4">
        <v>152</v>
      </c>
      <c r="B156" s="4" t="s">
        <v>40</v>
      </c>
      <c r="C156" s="5">
        <f t="shared" si="36"/>
        <v>16.2</v>
      </c>
      <c r="D156" s="4"/>
      <c r="E156" s="5" t="str">
        <f t="shared" si="37"/>
        <v/>
      </c>
      <c r="F156" s="5"/>
      <c r="G156" s="5" t="str">
        <f t="shared" si="38"/>
        <v/>
      </c>
      <c r="H156" s="5" t="str">
        <f t="shared" si="39"/>
        <v/>
      </c>
      <c r="I156" s="5"/>
      <c r="J156" s="5" t="str">
        <f t="shared" si="40"/>
        <v/>
      </c>
      <c r="K156" s="5" t="str">
        <f t="shared" si="41"/>
        <v/>
      </c>
      <c r="L156" s="5"/>
      <c r="M156" s="5"/>
      <c r="N156" s="5" t="str">
        <f t="shared" si="42"/>
        <v/>
      </c>
      <c r="O156" s="5" t="str">
        <f t="shared" si="43"/>
        <v/>
      </c>
      <c r="P156" s="5">
        <v>16</v>
      </c>
      <c r="Q156" s="5">
        <f t="shared" si="44"/>
        <v>32400</v>
      </c>
      <c r="R156" s="4">
        <v>2.5</v>
      </c>
      <c r="S156" s="4" t="s">
        <v>372</v>
      </c>
      <c r="T156" s="4" t="s">
        <v>373</v>
      </c>
      <c r="U156" s="4" t="s">
        <v>43</v>
      </c>
    </row>
    <row r="157" spans="1:21" ht="30" customHeight="1">
      <c r="A157" s="4">
        <v>153</v>
      </c>
      <c r="B157" s="4" t="s">
        <v>28</v>
      </c>
      <c r="C157" s="5">
        <f t="shared" si="36"/>
        <v>16.3</v>
      </c>
      <c r="D157" s="4"/>
      <c r="E157" s="5" t="str">
        <f t="shared" si="37"/>
        <v/>
      </c>
      <c r="F157" s="5">
        <v>33</v>
      </c>
      <c r="G157" s="5">
        <f t="shared" si="38"/>
        <v>3260</v>
      </c>
      <c r="H157" s="5">
        <f t="shared" si="39"/>
        <v>6.8</v>
      </c>
      <c r="I157" s="5">
        <v>163</v>
      </c>
      <c r="J157" s="5">
        <f t="shared" si="40"/>
        <v>3260</v>
      </c>
      <c r="K157" s="5">
        <f t="shared" si="41"/>
        <v>3.75</v>
      </c>
      <c r="L157" s="5" t="s">
        <v>374</v>
      </c>
      <c r="M157" s="5" t="s">
        <v>375</v>
      </c>
      <c r="N157" s="5">
        <f t="shared" si="42"/>
        <v>3260</v>
      </c>
      <c r="O157" s="5">
        <f t="shared" si="43"/>
        <v>3.75</v>
      </c>
      <c r="P157" s="5"/>
      <c r="Q157" s="5" t="str">
        <f t="shared" si="44"/>
        <v/>
      </c>
      <c r="R157" s="4"/>
      <c r="S157" s="4"/>
      <c r="T157" s="4" t="s">
        <v>376</v>
      </c>
      <c r="U157" s="4" t="s">
        <v>32</v>
      </c>
    </row>
    <row r="158" spans="1:21" ht="30" customHeight="1">
      <c r="A158" s="4">
        <v>154</v>
      </c>
      <c r="B158" s="4" t="s">
        <v>28</v>
      </c>
      <c r="C158" s="5">
        <f t="shared" si="36"/>
        <v>16.399999999999999</v>
      </c>
      <c r="D158" s="4"/>
      <c r="E158" s="5" t="str">
        <f t="shared" si="37"/>
        <v/>
      </c>
      <c r="F158" s="5">
        <v>33</v>
      </c>
      <c r="G158" s="5">
        <f t="shared" si="38"/>
        <v>3279.9999999999995</v>
      </c>
      <c r="H158" s="5">
        <f t="shared" si="39"/>
        <v>6.8</v>
      </c>
      <c r="I158" s="5">
        <v>164</v>
      </c>
      <c r="J158" s="5">
        <f t="shared" si="40"/>
        <v>3279.9999999999995</v>
      </c>
      <c r="K158" s="5">
        <f t="shared" si="41"/>
        <v>3.75</v>
      </c>
      <c r="L158" s="5" t="s">
        <v>377</v>
      </c>
      <c r="M158" s="5" t="s">
        <v>375</v>
      </c>
      <c r="N158" s="5">
        <f t="shared" si="42"/>
        <v>3279.9999999999995</v>
      </c>
      <c r="O158" s="5">
        <f t="shared" si="43"/>
        <v>3.75</v>
      </c>
      <c r="P158" s="5"/>
      <c r="Q158" s="5" t="str">
        <f t="shared" si="44"/>
        <v/>
      </c>
      <c r="R158" s="4"/>
      <c r="S158" s="4"/>
      <c r="T158" s="4" t="s">
        <v>378</v>
      </c>
      <c r="U158" s="4" t="s">
        <v>32</v>
      </c>
    </row>
    <row r="159" spans="1:21" ht="30" customHeight="1">
      <c r="A159" s="4">
        <v>155</v>
      </c>
      <c r="B159" s="4" t="s">
        <v>28</v>
      </c>
      <c r="C159" s="5">
        <f t="shared" si="36"/>
        <v>16.5</v>
      </c>
      <c r="D159" s="4"/>
      <c r="E159" s="5" t="str">
        <f t="shared" si="37"/>
        <v/>
      </c>
      <c r="F159" s="5">
        <v>33</v>
      </c>
      <c r="G159" s="5">
        <f t="shared" si="38"/>
        <v>3300</v>
      </c>
      <c r="H159" s="5">
        <f t="shared" si="39"/>
        <v>6.8</v>
      </c>
      <c r="I159" s="5">
        <v>165</v>
      </c>
      <c r="J159" s="5">
        <f t="shared" si="40"/>
        <v>3300</v>
      </c>
      <c r="K159" s="5">
        <f t="shared" si="41"/>
        <v>3.75</v>
      </c>
      <c r="L159" s="5" t="s">
        <v>379</v>
      </c>
      <c r="M159" s="5" t="s">
        <v>375</v>
      </c>
      <c r="N159" s="5">
        <f t="shared" si="42"/>
        <v>3300</v>
      </c>
      <c r="O159" s="5">
        <f t="shared" si="43"/>
        <v>3.75</v>
      </c>
      <c r="P159" s="5"/>
      <c r="Q159" s="5" t="str">
        <f t="shared" si="44"/>
        <v/>
      </c>
      <c r="R159" s="4"/>
      <c r="S159" s="4"/>
      <c r="T159" s="4" t="s">
        <v>380</v>
      </c>
      <c r="U159" s="4" t="s">
        <v>32</v>
      </c>
    </row>
    <row r="160" spans="1:21" ht="30" customHeight="1">
      <c r="A160" s="4">
        <v>156</v>
      </c>
      <c r="B160" s="4" t="s">
        <v>28</v>
      </c>
      <c r="C160" s="5">
        <f t="shared" si="36"/>
        <v>16.600000000000001</v>
      </c>
      <c r="D160" s="4"/>
      <c r="E160" s="5" t="str">
        <f t="shared" si="37"/>
        <v/>
      </c>
      <c r="F160" s="5">
        <v>34</v>
      </c>
      <c r="G160" s="5">
        <f t="shared" si="38"/>
        <v>3320.0000000000005</v>
      </c>
      <c r="H160" s="5">
        <f t="shared" si="39"/>
        <v>6.8</v>
      </c>
      <c r="I160" s="5">
        <v>166</v>
      </c>
      <c r="J160" s="5">
        <f t="shared" si="40"/>
        <v>3320.0000000000005</v>
      </c>
      <c r="K160" s="5">
        <f t="shared" si="41"/>
        <v>3.75</v>
      </c>
      <c r="L160" s="5" t="s">
        <v>381</v>
      </c>
      <c r="M160" s="5" t="s">
        <v>382</v>
      </c>
      <c r="N160" s="5">
        <f t="shared" si="42"/>
        <v>3320.0000000000005</v>
      </c>
      <c r="O160" s="5">
        <f t="shared" si="43"/>
        <v>3.75</v>
      </c>
      <c r="P160" s="5"/>
      <c r="Q160" s="5" t="str">
        <f t="shared" si="44"/>
        <v/>
      </c>
      <c r="R160" s="4"/>
      <c r="S160" s="4"/>
      <c r="T160" s="4" t="s">
        <v>383</v>
      </c>
      <c r="U160" s="4" t="s">
        <v>32</v>
      </c>
    </row>
    <row r="161" spans="1:21" ht="30" customHeight="1">
      <c r="A161" s="4">
        <v>157</v>
      </c>
      <c r="B161" s="4" t="s">
        <v>28</v>
      </c>
      <c r="C161" s="5">
        <f t="shared" si="36"/>
        <v>16.7</v>
      </c>
      <c r="D161" s="4"/>
      <c r="E161" s="5" t="str">
        <f t="shared" si="37"/>
        <v/>
      </c>
      <c r="F161" s="5">
        <v>34</v>
      </c>
      <c r="G161" s="5">
        <f t="shared" si="38"/>
        <v>3340</v>
      </c>
      <c r="H161" s="5">
        <f t="shared" si="39"/>
        <v>6.8</v>
      </c>
      <c r="I161" s="5">
        <v>167</v>
      </c>
      <c r="J161" s="5">
        <f t="shared" si="40"/>
        <v>3340</v>
      </c>
      <c r="K161" s="5">
        <f t="shared" si="41"/>
        <v>3.75</v>
      </c>
      <c r="L161" s="5" t="s">
        <v>384</v>
      </c>
      <c r="M161" s="5" t="s">
        <v>382</v>
      </c>
      <c r="N161" s="5">
        <f t="shared" si="42"/>
        <v>3340</v>
      </c>
      <c r="O161" s="5">
        <f t="shared" si="43"/>
        <v>3.75</v>
      </c>
      <c r="P161" s="5"/>
      <c r="Q161" s="5" t="str">
        <f t="shared" si="44"/>
        <v/>
      </c>
      <c r="R161" s="4"/>
      <c r="S161" s="4"/>
      <c r="T161" s="4" t="s">
        <v>385</v>
      </c>
      <c r="U161" s="4" t="s">
        <v>32</v>
      </c>
    </row>
    <row r="162" spans="1:21" ht="30" customHeight="1">
      <c r="A162" s="4">
        <v>158</v>
      </c>
      <c r="B162" s="4" t="s">
        <v>28</v>
      </c>
      <c r="C162" s="5">
        <f t="shared" si="36"/>
        <v>16.8</v>
      </c>
      <c r="D162" s="4"/>
      <c r="E162" s="5" t="str">
        <f t="shared" si="37"/>
        <v/>
      </c>
      <c r="F162" s="5">
        <v>34</v>
      </c>
      <c r="G162" s="5">
        <f t="shared" si="38"/>
        <v>3360</v>
      </c>
      <c r="H162" s="5">
        <f t="shared" si="39"/>
        <v>6.8</v>
      </c>
      <c r="I162" s="5">
        <v>168</v>
      </c>
      <c r="J162" s="5">
        <f t="shared" si="40"/>
        <v>3360</v>
      </c>
      <c r="K162" s="5">
        <f t="shared" si="41"/>
        <v>3.75</v>
      </c>
      <c r="L162" s="5" t="s">
        <v>386</v>
      </c>
      <c r="M162" s="5" t="s">
        <v>382</v>
      </c>
      <c r="N162" s="5">
        <f t="shared" si="42"/>
        <v>3360</v>
      </c>
      <c r="O162" s="5">
        <f t="shared" si="43"/>
        <v>3.75</v>
      </c>
      <c r="P162" s="5"/>
      <c r="Q162" s="5" t="str">
        <f t="shared" si="44"/>
        <v/>
      </c>
      <c r="R162" s="4"/>
      <c r="S162" s="4"/>
      <c r="T162" s="4" t="s">
        <v>387</v>
      </c>
      <c r="U162" s="4" t="s">
        <v>32</v>
      </c>
    </row>
    <row r="163" spans="1:21" ht="30" customHeight="1">
      <c r="A163" s="4">
        <v>159</v>
      </c>
      <c r="B163" s="4" t="s">
        <v>28</v>
      </c>
      <c r="C163" s="5">
        <f t="shared" si="36"/>
        <v>16.899999999999999</v>
      </c>
      <c r="D163" s="4"/>
      <c r="E163" s="5" t="str">
        <f t="shared" si="37"/>
        <v/>
      </c>
      <c r="F163" s="5">
        <v>34</v>
      </c>
      <c r="G163" s="5">
        <f t="shared" si="38"/>
        <v>3379.9999999999995</v>
      </c>
      <c r="H163" s="5">
        <f t="shared" si="39"/>
        <v>6.8</v>
      </c>
      <c r="I163" s="5">
        <v>169</v>
      </c>
      <c r="J163" s="5">
        <f t="shared" si="40"/>
        <v>3379.9999999999995</v>
      </c>
      <c r="K163" s="5">
        <f t="shared" si="41"/>
        <v>3.75</v>
      </c>
      <c r="L163" s="5" t="s">
        <v>388</v>
      </c>
      <c r="M163" s="5" t="s">
        <v>389</v>
      </c>
      <c r="N163" s="5">
        <f t="shared" si="42"/>
        <v>3379.9999999999995</v>
      </c>
      <c r="O163" s="5">
        <f t="shared" si="43"/>
        <v>3.75</v>
      </c>
      <c r="P163" s="5"/>
      <c r="Q163" s="5" t="str">
        <f t="shared" si="44"/>
        <v/>
      </c>
      <c r="R163" s="4"/>
      <c r="S163" s="4"/>
      <c r="T163" s="4" t="s">
        <v>390</v>
      </c>
      <c r="U163" s="4" t="s">
        <v>32</v>
      </c>
    </row>
    <row r="164" spans="1:21" ht="30" customHeight="1">
      <c r="A164" s="4">
        <v>160</v>
      </c>
      <c r="B164" s="4" t="s">
        <v>40</v>
      </c>
      <c r="C164" s="5">
        <f t="shared" si="36"/>
        <v>17</v>
      </c>
      <c r="D164" s="4"/>
      <c r="E164" s="5" t="str">
        <f t="shared" si="37"/>
        <v/>
      </c>
      <c r="F164" s="5"/>
      <c r="G164" s="5" t="str">
        <f t="shared" si="38"/>
        <v/>
      </c>
      <c r="H164" s="5" t="str">
        <f t="shared" si="39"/>
        <v/>
      </c>
      <c r="I164" s="5"/>
      <c r="J164" s="5" t="str">
        <f t="shared" si="40"/>
        <v/>
      </c>
      <c r="K164" s="5" t="str">
        <f t="shared" si="41"/>
        <v/>
      </c>
      <c r="L164" s="5"/>
      <c r="M164" s="5"/>
      <c r="N164" s="5" t="str">
        <f t="shared" si="42"/>
        <v/>
      </c>
      <c r="O164" s="5" t="str">
        <f t="shared" si="43"/>
        <v/>
      </c>
      <c r="P164" s="5">
        <v>16</v>
      </c>
      <c r="Q164" s="5">
        <f t="shared" si="44"/>
        <v>34000</v>
      </c>
      <c r="R164" s="4">
        <v>2.5</v>
      </c>
      <c r="S164" s="4" t="s">
        <v>372</v>
      </c>
      <c r="T164" s="4" t="s">
        <v>373</v>
      </c>
      <c r="U164" s="4" t="s">
        <v>43</v>
      </c>
    </row>
    <row r="165" spans="1:21" ht="30" customHeight="1">
      <c r="A165" s="4">
        <v>161</v>
      </c>
      <c r="B165" s="4" t="s">
        <v>28</v>
      </c>
      <c r="C165" s="5">
        <f t="shared" ref="C165:C196" si="45">1+A165/10</f>
        <v>17.100000000000001</v>
      </c>
      <c r="D165" s="4"/>
      <c r="E165" s="5" t="str">
        <f t="shared" ref="E165:E196" si="46">IF(D165&lt;&gt;"",50*C165,"")</f>
        <v/>
      </c>
      <c r="F165" s="5">
        <v>35</v>
      </c>
      <c r="G165" s="5">
        <f t="shared" ref="G165:G196" si="47">IF(F165&lt;&gt;"",200*C165,"")</f>
        <v>3420.0000000000005</v>
      </c>
      <c r="H165" s="5">
        <f t="shared" ref="H165:H196" si="48">IF(F165&lt;&gt;"",MIN(4*(1+A165/30),4*1.7),"")</f>
        <v>6.8</v>
      </c>
      <c r="I165" s="5">
        <v>171</v>
      </c>
      <c r="J165" s="5">
        <f t="shared" ref="J165:J196" si="49">IF(I165&lt;&gt;"",200*C165,"")</f>
        <v>3420.0000000000005</v>
      </c>
      <c r="K165" s="5">
        <f t="shared" ref="K165:K196" si="50">IF(I165&lt;&gt;"",2.5*MIN(1+A165/30,1.5),"")</f>
        <v>3.75</v>
      </c>
      <c r="L165" s="5" t="s">
        <v>391</v>
      </c>
      <c r="M165" s="5" t="s">
        <v>389</v>
      </c>
      <c r="N165" s="5">
        <f t="shared" ref="N165:N196" si="51">IF(M165&lt;&gt;"",200*C165,"")</f>
        <v>3420.0000000000005</v>
      </c>
      <c r="O165" s="5">
        <f t="shared" ref="O165:O196" si="52">IF(M165&lt;&gt;"",2.5*MIN(1+A165/30,1.5),"")</f>
        <v>3.75</v>
      </c>
      <c r="P165" s="5"/>
      <c r="Q165" s="5" t="str">
        <f t="shared" ref="Q165:Q196" si="53">IF(P165&lt;&gt;"",2000*C165,"")</f>
        <v/>
      </c>
      <c r="R165" s="4"/>
      <c r="S165" s="4"/>
      <c r="T165" s="4" t="s">
        <v>392</v>
      </c>
      <c r="U165" s="4" t="s">
        <v>32</v>
      </c>
    </row>
    <row r="166" spans="1:21" ht="30" customHeight="1">
      <c r="A166" s="4">
        <v>162</v>
      </c>
      <c r="B166" s="4" t="s">
        <v>28</v>
      </c>
      <c r="C166" s="5">
        <f t="shared" si="45"/>
        <v>17.2</v>
      </c>
      <c r="D166" s="4"/>
      <c r="E166" s="5" t="str">
        <f t="shared" si="46"/>
        <v/>
      </c>
      <c r="F166" s="5">
        <v>35</v>
      </c>
      <c r="G166" s="5">
        <f t="shared" si="47"/>
        <v>3440</v>
      </c>
      <c r="H166" s="5">
        <f t="shared" si="48"/>
        <v>6.8</v>
      </c>
      <c r="I166" s="5">
        <v>172</v>
      </c>
      <c r="J166" s="5">
        <f t="shared" si="49"/>
        <v>3440</v>
      </c>
      <c r="K166" s="5">
        <f t="shared" si="50"/>
        <v>3.75</v>
      </c>
      <c r="L166" s="5" t="s">
        <v>393</v>
      </c>
      <c r="M166" s="5" t="s">
        <v>394</v>
      </c>
      <c r="N166" s="5">
        <f t="shared" si="51"/>
        <v>3440</v>
      </c>
      <c r="O166" s="5">
        <f t="shared" si="52"/>
        <v>3.75</v>
      </c>
      <c r="P166" s="5"/>
      <c r="Q166" s="5" t="str">
        <f t="shared" si="53"/>
        <v/>
      </c>
      <c r="R166" s="4"/>
      <c r="S166" s="4"/>
      <c r="T166" s="4" t="s">
        <v>395</v>
      </c>
      <c r="U166" s="4" t="s">
        <v>32</v>
      </c>
    </row>
    <row r="167" spans="1:21" ht="30" customHeight="1">
      <c r="A167" s="4">
        <v>163</v>
      </c>
      <c r="B167" s="4" t="s">
        <v>28</v>
      </c>
      <c r="C167" s="5">
        <f t="shared" si="45"/>
        <v>17.3</v>
      </c>
      <c r="D167" s="4"/>
      <c r="E167" s="5" t="str">
        <f t="shared" si="46"/>
        <v/>
      </c>
      <c r="F167" s="5">
        <v>35</v>
      </c>
      <c r="G167" s="5">
        <f t="shared" si="47"/>
        <v>3460</v>
      </c>
      <c r="H167" s="5">
        <f t="shared" si="48"/>
        <v>6.8</v>
      </c>
      <c r="I167" s="5">
        <v>173</v>
      </c>
      <c r="J167" s="5">
        <f t="shared" si="49"/>
        <v>3460</v>
      </c>
      <c r="K167" s="5">
        <f t="shared" si="50"/>
        <v>3.75</v>
      </c>
      <c r="L167" s="5" t="s">
        <v>396</v>
      </c>
      <c r="M167" s="5" t="s">
        <v>394</v>
      </c>
      <c r="N167" s="5">
        <f t="shared" si="51"/>
        <v>3460</v>
      </c>
      <c r="O167" s="5">
        <f t="shared" si="52"/>
        <v>3.75</v>
      </c>
      <c r="P167" s="5"/>
      <c r="Q167" s="5" t="str">
        <f t="shared" si="53"/>
        <v/>
      </c>
      <c r="R167" s="4"/>
      <c r="S167" s="4"/>
      <c r="T167" s="4" t="s">
        <v>397</v>
      </c>
      <c r="U167" s="4" t="s">
        <v>32</v>
      </c>
    </row>
    <row r="168" spans="1:21" ht="30" customHeight="1">
      <c r="A168" s="4">
        <v>164</v>
      </c>
      <c r="B168" s="4" t="s">
        <v>28</v>
      </c>
      <c r="C168" s="5">
        <f t="shared" si="45"/>
        <v>17.399999999999999</v>
      </c>
      <c r="D168" s="4"/>
      <c r="E168" s="5" t="str">
        <f t="shared" si="46"/>
        <v/>
      </c>
      <c r="F168" s="5">
        <v>35</v>
      </c>
      <c r="G168" s="5">
        <f t="shared" si="47"/>
        <v>3479.9999999999995</v>
      </c>
      <c r="H168" s="5">
        <f t="shared" si="48"/>
        <v>6.8</v>
      </c>
      <c r="I168" s="5">
        <v>174</v>
      </c>
      <c r="J168" s="5">
        <f t="shared" si="49"/>
        <v>3479.9999999999995</v>
      </c>
      <c r="K168" s="5">
        <f t="shared" si="50"/>
        <v>3.75</v>
      </c>
      <c r="L168" s="5" t="s">
        <v>398</v>
      </c>
      <c r="M168" s="5" t="s">
        <v>394</v>
      </c>
      <c r="N168" s="5">
        <f t="shared" si="51"/>
        <v>3479.9999999999995</v>
      </c>
      <c r="O168" s="5">
        <f t="shared" si="52"/>
        <v>3.75</v>
      </c>
      <c r="P168" s="5"/>
      <c r="Q168" s="5" t="str">
        <f t="shared" si="53"/>
        <v/>
      </c>
      <c r="R168" s="4"/>
      <c r="S168" s="4"/>
      <c r="T168" s="4" t="s">
        <v>399</v>
      </c>
      <c r="U168" s="4" t="s">
        <v>32</v>
      </c>
    </row>
    <row r="169" spans="1:21" ht="30" customHeight="1">
      <c r="A169" s="4">
        <v>165</v>
      </c>
      <c r="B169" s="4" t="s">
        <v>28</v>
      </c>
      <c r="C169" s="5">
        <f t="shared" si="45"/>
        <v>17.5</v>
      </c>
      <c r="D169" s="4"/>
      <c r="E169" s="5" t="str">
        <f t="shared" si="46"/>
        <v/>
      </c>
      <c r="F169" s="5">
        <v>35</v>
      </c>
      <c r="G169" s="5">
        <f t="shared" si="47"/>
        <v>3500</v>
      </c>
      <c r="H169" s="5">
        <f t="shared" si="48"/>
        <v>6.8</v>
      </c>
      <c r="I169" s="5">
        <v>175</v>
      </c>
      <c r="J169" s="5">
        <f t="shared" si="49"/>
        <v>3500</v>
      </c>
      <c r="K169" s="5">
        <f t="shared" si="50"/>
        <v>3.75</v>
      </c>
      <c r="L169" s="5" t="s">
        <v>400</v>
      </c>
      <c r="M169" s="5" t="s">
        <v>401</v>
      </c>
      <c r="N169" s="5">
        <f t="shared" si="51"/>
        <v>3500</v>
      </c>
      <c r="O169" s="5">
        <f t="shared" si="52"/>
        <v>3.75</v>
      </c>
      <c r="P169" s="5"/>
      <c r="Q169" s="5" t="str">
        <f t="shared" si="53"/>
        <v/>
      </c>
      <c r="R169" s="4"/>
      <c r="S169" s="4"/>
      <c r="T169" s="4" t="s">
        <v>402</v>
      </c>
      <c r="U169" s="4" t="s">
        <v>32</v>
      </c>
    </row>
    <row r="170" spans="1:21" ht="30" customHeight="1">
      <c r="A170" s="4">
        <v>166</v>
      </c>
      <c r="B170" s="4" t="s">
        <v>28</v>
      </c>
      <c r="C170" s="5">
        <f t="shared" si="45"/>
        <v>17.600000000000001</v>
      </c>
      <c r="D170" s="4"/>
      <c r="E170" s="5" t="str">
        <f t="shared" si="46"/>
        <v/>
      </c>
      <c r="F170" s="5">
        <v>36</v>
      </c>
      <c r="G170" s="5">
        <f t="shared" si="47"/>
        <v>3520.0000000000005</v>
      </c>
      <c r="H170" s="5">
        <f t="shared" si="48"/>
        <v>6.8</v>
      </c>
      <c r="I170" s="5">
        <v>176</v>
      </c>
      <c r="J170" s="5">
        <f t="shared" si="49"/>
        <v>3520.0000000000005</v>
      </c>
      <c r="K170" s="5">
        <f t="shared" si="50"/>
        <v>3.75</v>
      </c>
      <c r="L170" s="5" t="s">
        <v>403</v>
      </c>
      <c r="M170" s="5" t="s">
        <v>401</v>
      </c>
      <c r="N170" s="5">
        <f t="shared" si="51"/>
        <v>3520.0000000000005</v>
      </c>
      <c r="O170" s="5">
        <f t="shared" si="52"/>
        <v>3.75</v>
      </c>
      <c r="P170" s="5"/>
      <c r="Q170" s="5" t="str">
        <f t="shared" si="53"/>
        <v/>
      </c>
      <c r="R170" s="4"/>
      <c r="S170" s="4"/>
      <c r="T170" s="4" t="s">
        <v>404</v>
      </c>
      <c r="U170" s="4" t="s">
        <v>32</v>
      </c>
    </row>
    <row r="171" spans="1:21" ht="30" customHeight="1">
      <c r="A171" s="4">
        <v>167</v>
      </c>
      <c r="B171" s="4" t="s">
        <v>28</v>
      </c>
      <c r="C171" s="5">
        <f t="shared" si="45"/>
        <v>17.7</v>
      </c>
      <c r="D171" s="4"/>
      <c r="E171" s="5" t="str">
        <f t="shared" si="46"/>
        <v/>
      </c>
      <c r="F171" s="5">
        <v>36</v>
      </c>
      <c r="G171" s="5">
        <f t="shared" si="47"/>
        <v>3540</v>
      </c>
      <c r="H171" s="5">
        <f t="shared" si="48"/>
        <v>6.8</v>
      </c>
      <c r="I171" s="5">
        <v>177</v>
      </c>
      <c r="J171" s="5">
        <f t="shared" si="49"/>
        <v>3540</v>
      </c>
      <c r="K171" s="5">
        <f t="shared" si="50"/>
        <v>3.75</v>
      </c>
      <c r="L171" s="5" t="s">
        <v>405</v>
      </c>
      <c r="M171" s="5" t="s">
        <v>401</v>
      </c>
      <c r="N171" s="5">
        <f t="shared" si="51"/>
        <v>3540</v>
      </c>
      <c r="O171" s="5">
        <f t="shared" si="52"/>
        <v>3.75</v>
      </c>
      <c r="P171" s="5"/>
      <c r="Q171" s="5" t="str">
        <f t="shared" si="53"/>
        <v/>
      </c>
      <c r="R171" s="4"/>
      <c r="S171" s="4"/>
      <c r="T171" s="4" t="s">
        <v>406</v>
      </c>
      <c r="U171" s="4" t="s">
        <v>32</v>
      </c>
    </row>
    <row r="172" spans="1:21" ht="30" customHeight="1">
      <c r="A172" s="4">
        <v>168</v>
      </c>
      <c r="B172" s="4" t="s">
        <v>40</v>
      </c>
      <c r="C172" s="5">
        <f t="shared" si="45"/>
        <v>17.8</v>
      </c>
      <c r="D172" s="4"/>
      <c r="E172" s="5" t="str">
        <f t="shared" si="46"/>
        <v/>
      </c>
      <c r="F172" s="5"/>
      <c r="G172" s="5" t="str">
        <f t="shared" si="47"/>
        <v/>
      </c>
      <c r="H172" s="5" t="str">
        <f t="shared" si="48"/>
        <v/>
      </c>
      <c r="I172" s="5"/>
      <c r="J172" s="5" t="str">
        <f t="shared" si="49"/>
        <v/>
      </c>
      <c r="K172" s="5" t="str">
        <f t="shared" si="50"/>
        <v/>
      </c>
      <c r="L172" s="5"/>
      <c r="M172" s="5"/>
      <c r="N172" s="5" t="str">
        <f t="shared" si="51"/>
        <v/>
      </c>
      <c r="O172" s="5" t="str">
        <f t="shared" si="52"/>
        <v/>
      </c>
      <c r="P172" s="5">
        <v>17</v>
      </c>
      <c r="Q172" s="5">
        <f t="shared" si="53"/>
        <v>35600</v>
      </c>
      <c r="R172" s="4">
        <v>2.5</v>
      </c>
      <c r="S172" s="4" t="s">
        <v>407</v>
      </c>
      <c r="T172" s="4" t="s">
        <v>408</v>
      </c>
      <c r="U172" s="4" t="s">
        <v>43</v>
      </c>
    </row>
    <row r="173" spans="1:21" ht="30" customHeight="1">
      <c r="A173" s="4">
        <v>169</v>
      </c>
      <c r="B173" s="4" t="s">
        <v>28</v>
      </c>
      <c r="C173" s="5">
        <f t="shared" si="45"/>
        <v>17.899999999999999</v>
      </c>
      <c r="D173" s="4"/>
      <c r="E173" s="5" t="str">
        <f t="shared" si="46"/>
        <v/>
      </c>
      <c r="F173" s="5">
        <v>36</v>
      </c>
      <c r="G173" s="5">
        <f t="shared" si="47"/>
        <v>3579.9999999999995</v>
      </c>
      <c r="H173" s="5">
        <f t="shared" si="48"/>
        <v>6.8</v>
      </c>
      <c r="I173" s="5">
        <v>179</v>
      </c>
      <c r="J173" s="5">
        <f t="shared" si="49"/>
        <v>3579.9999999999995</v>
      </c>
      <c r="K173" s="5">
        <f t="shared" si="50"/>
        <v>3.75</v>
      </c>
      <c r="L173" s="5" t="s">
        <v>409</v>
      </c>
      <c r="M173" s="5" t="s">
        <v>410</v>
      </c>
      <c r="N173" s="5">
        <f t="shared" si="51"/>
        <v>3579.9999999999995</v>
      </c>
      <c r="O173" s="5">
        <f t="shared" si="52"/>
        <v>3.75</v>
      </c>
      <c r="P173" s="5"/>
      <c r="Q173" s="5" t="str">
        <f t="shared" si="53"/>
        <v/>
      </c>
      <c r="R173" s="4"/>
      <c r="S173" s="4"/>
      <c r="T173" s="4" t="s">
        <v>411</v>
      </c>
      <c r="U173" s="4" t="s">
        <v>32</v>
      </c>
    </row>
    <row r="174" spans="1:21" ht="30" customHeight="1">
      <c r="A174" s="4">
        <v>170</v>
      </c>
      <c r="B174" s="4" t="s">
        <v>28</v>
      </c>
      <c r="C174" s="5">
        <f t="shared" si="45"/>
        <v>18</v>
      </c>
      <c r="D174" s="4"/>
      <c r="E174" s="5" t="str">
        <f t="shared" si="46"/>
        <v/>
      </c>
      <c r="F174" s="5">
        <v>36</v>
      </c>
      <c r="G174" s="5">
        <f t="shared" si="47"/>
        <v>3600</v>
      </c>
      <c r="H174" s="5">
        <f t="shared" si="48"/>
        <v>6.8</v>
      </c>
      <c r="I174" s="5">
        <v>180</v>
      </c>
      <c r="J174" s="5">
        <f t="shared" si="49"/>
        <v>3600</v>
      </c>
      <c r="K174" s="5">
        <f t="shared" si="50"/>
        <v>3.75</v>
      </c>
      <c r="L174" s="5" t="s">
        <v>412</v>
      </c>
      <c r="M174" s="5" t="s">
        <v>410</v>
      </c>
      <c r="N174" s="5">
        <f t="shared" si="51"/>
        <v>3600</v>
      </c>
      <c r="O174" s="5">
        <f t="shared" si="52"/>
        <v>3.75</v>
      </c>
      <c r="P174" s="5"/>
      <c r="Q174" s="5" t="str">
        <f t="shared" si="53"/>
        <v/>
      </c>
      <c r="R174" s="4"/>
      <c r="S174" s="4"/>
      <c r="T174" s="4" t="s">
        <v>413</v>
      </c>
      <c r="U174" s="4" t="s">
        <v>32</v>
      </c>
    </row>
    <row r="175" spans="1:21" ht="30" customHeight="1">
      <c r="A175" s="4">
        <v>171</v>
      </c>
      <c r="B175" s="4" t="s">
        <v>28</v>
      </c>
      <c r="C175" s="5">
        <f t="shared" si="45"/>
        <v>18.100000000000001</v>
      </c>
      <c r="D175" s="4"/>
      <c r="E175" s="5" t="str">
        <f t="shared" si="46"/>
        <v/>
      </c>
      <c r="F175" s="5">
        <v>37</v>
      </c>
      <c r="G175" s="5">
        <f t="shared" si="47"/>
        <v>3620.0000000000005</v>
      </c>
      <c r="H175" s="5">
        <f t="shared" si="48"/>
        <v>6.8</v>
      </c>
      <c r="I175" s="5">
        <v>181</v>
      </c>
      <c r="J175" s="5">
        <f t="shared" si="49"/>
        <v>3620.0000000000005</v>
      </c>
      <c r="K175" s="5">
        <f t="shared" si="50"/>
        <v>3.75</v>
      </c>
      <c r="L175" s="5" t="s">
        <v>414</v>
      </c>
      <c r="M175" s="5" t="s">
        <v>415</v>
      </c>
      <c r="N175" s="5">
        <f t="shared" si="51"/>
        <v>3620.0000000000005</v>
      </c>
      <c r="O175" s="5">
        <f t="shared" si="52"/>
        <v>3.75</v>
      </c>
      <c r="P175" s="5"/>
      <c r="Q175" s="5" t="str">
        <f t="shared" si="53"/>
        <v/>
      </c>
      <c r="R175" s="4"/>
      <c r="S175" s="4"/>
      <c r="T175" s="4" t="s">
        <v>416</v>
      </c>
      <c r="U175" s="4" t="s">
        <v>32</v>
      </c>
    </row>
    <row r="176" spans="1:21" ht="30" customHeight="1">
      <c r="A176" s="4">
        <v>172</v>
      </c>
      <c r="B176" s="4" t="s">
        <v>28</v>
      </c>
      <c r="C176" s="5">
        <f t="shared" si="45"/>
        <v>18.2</v>
      </c>
      <c r="D176" s="4"/>
      <c r="E176" s="5" t="str">
        <f t="shared" si="46"/>
        <v/>
      </c>
      <c r="F176" s="5">
        <v>37</v>
      </c>
      <c r="G176" s="5">
        <f t="shared" si="47"/>
        <v>3640</v>
      </c>
      <c r="H176" s="5">
        <f t="shared" si="48"/>
        <v>6.8</v>
      </c>
      <c r="I176" s="5">
        <v>182</v>
      </c>
      <c r="J176" s="5">
        <f t="shared" si="49"/>
        <v>3640</v>
      </c>
      <c r="K176" s="5">
        <f t="shared" si="50"/>
        <v>3.75</v>
      </c>
      <c r="L176" s="5" t="s">
        <v>417</v>
      </c>
      <c r="M176" s="5" t="s">
        <v>415</v>
      </c>
      <c r="N176" s="5">
        <f t="shared" si="51"/>
        <v>3640</v>
      </c>
      <c r="O176" s="5">
        <f t="shared" si="52"/>
        <v>3.75</v>
      </c>
      <c r="P176" s="5"/>
      <c r="Q176" s="5" t="str">
        <f t="shared" si="53"/>
        <v/>
      </c>
      <c r="R176" s="4"/>
      <c r="S176" s="4"/>
      <c r="T176" s="4" t="s">
        <v>418</v>
      </c>
      <c r="U176" s="4" t="s">
        <v>32</v>
      </c>
    </row>
    <row r="177" spans="1:21" ht="30" customHeight="1">
      <c r="A177" s="4">
        <v>173</v>
      </c>
      <c r="B177" s="4" t="s">
        <v>28</v>
      </c>
      <c r="C177" s="5">
        <f t="shared" si="45"/>
        <v>18.3</v>
      </c>
      <c r="D177" s="4"/>
      <c r="E177" s="5" t="str">
        <f t="shared" si="46"/>
        <v/>
      </c>
      <c r="F177" s="5">
        <v>37</v>
      </c>
      <c r="G177" s="5">
        <f t="shared" si="47"/>
        <v>3660</v>
      </c>
      <c r="H177" s="5">
        <f t="shared" si="48"/>
        <v>6.8</v>
      </c>
      <c r="I177" s="5">
        <v>183</v>
      </c>
      <c r="J177" s="5">
        <f t="shared" si="49"/>
        <v>3660</v>
      </c>
      <c r="K177" s="5">
        <f t="shared" si="50"/>
        <v>3.75</v>
      </c>
      <c r="L177" s="5" t="s">
        <v>419</v>
      </c>
      <c r="M177" s="5" t="s">
        <v>415</v>
      </c>
      <c r="N177" s="5">
        <f t="shared" si="51"/>
        <v>3660</v>
      </c>
      <c r="O177" s="5">
        <f t="shared" si="52"/>
        <v>3.75</v>
      </c>
      <c r="P177" s="5"/>
      <c r="Q177" s="5" t="str">
        <f t="shared" si="53"/>
        <v/>
      </c>
      <c r="R177" s="4"/>
      <c r="S177" s="4"/>
      <c r="T177" s="4" t="s">
        <v>420</v>
      </c>
      <c r="U177" s="4" t="s">
        <v>32</v>
      </c>
    </row>
    <row r="178" spans="1:21" ht="30" customHeight="1">
      <c r="A178" s="4">
        <v>174</v>
      </c>
      <c r="B178" s="4" t="s">
        <v>28</v>
      </c>
      <c r="C178" s="5">
        <f t="shared" si="45"/>
        <v>18.399999999999999</v>
      </c>
      <c r="D178" s="4"/>
      <c r="E178" s="5" t="str">
        <f t="shared" si="46"/>
        <v/>
      </c>
      <c r="F178" s="5">
        <v>37</v>
      </c>
      <c r="G178" s="5">
        <f t="shared" si="47"/>
        <v>3679.9999999999995</v>
      </c>
      <c r="H178" s="5">
        <f t="shared" si="48"/>
        <v>6.8</v>
      </c>
      <c r="I178" s="5">
        <v>184</v>
      </c>
      <c r="J178" s="5">
        <f t="shared" si="49"/>
        <v>3679.9999999999995</v>
      </c>
      <c r="K178" s="5">
        <f t="shared" si="50"/>
        <v>3.75</v>
      </c>
      <c r="L178" s="5" t="s">
        <v>421</v>
      </c>
      <c r="M178" s="5" t="s">
        <v>422</v>
      </c>
      <c r="N178" s="5">
        <f t="shared" si="51"/>
        <v>3679.9999999999995</v>
      </c>
      <c r="O178" s="5">
        <f t="shared" si="52"/>
        <v>3.75</v>
      </c>
      <c r="P178" s="5"/>
      <c r="Q178" s="5" t="str">
        <f t="shared" si="53"/>
        <v/>
      </c>
      <c r="R178" s="4"/>
      <c r="S178" s="4"/>
      <c r="T178" s="4" t="s">
        <v>423</v>
      </c>
      <c r="U178" s="4" t="s">
        <v>32</v>
      </c>
    </row>
    <row r="179" spans="1:21" ht="30" customHeight="1">
      <c r="A179" s="4">
        <v>175</v>
      </c>
      <c r="B179" s="4" t="s">
        <v>28</v>
      </c>
      <c r="C179" s="5">
        <f t="shared" si="45"/>
        <v>18.5</v>
      </c>
      <c r="D179" s="4"/>
      <c r="E179" s="5" t="str">
        <f t="shared" si="46"/>
        <v/>
      </c>
      <c r="F179" s="5">
        <v>37</v>
      </c>
      <c r="G179" s="5">
        <f t="shared" si="47"/>
        <v>3700</v>
      </c>
      <c r="H179" s="5">
        <f t="shared" si="48"/>
        <v>6.8</v>
      </c>
      <c r="I179" s="5">
        <v>185</v>
      </c>
      <c r="J179" s="5">
        <f t="shared" si="49"/>
        <v>3700</v>
      </c>
      <c r="K179" s="5">
        <f t="shared" si="50"/>
        <v>3.75</v>
      </c>
      <c r="L179" s="5" t="s">
        <v>424</v>
      </c>
      <c r="M179" s="5" t="s">
        <v>422</v>
      </c>
      <c r="N179" s="5">
        <f t="shared" si="51"/>
        <v>3700</v>
      </c>
      <c r="O179" s="5">
        <f t="shared" si="52"/>
        <v>3.75</v>
      </c>
      <c r="P179" s="5"/>
      <c r="Q179" s="5" t="str">
        <f t="shared" si="53"/>
        <v/>
      </c>
      <c r="R179" s="4"/>
      <c r="S179" s="4"/>
      <c r="T179" s="4" t="s">
        <v>425</v>
      </c>
      <c r="U179" s="4" t="s">
        <v>32</v>
      </c>
    </row>
    <row r="180" spans="1:21" ht="30" customHeight="1">
      <c r="A180" s="4">
        <v>176</v>
      </c>
      <c r="B180" s="4" t="s">
        <v>40</v>
      </c>
      <c r="C180" s="5">
        <f t="shared" si="45"/>
        <v>18.600000000000001</v>
      </c>
      <c r="D180" s="4"/>
      <c r="E180" s="5" t="str">
        <f t="shared" si="46"/>
        <v/>
      </c>
      <c r="F180" s="5"/>
      <c r="G180" s="5" t="str">
        <f t="shared" si="47"/>
        <v/>
      </c>
      <c r="H180" s="5" t="str">
        <f t="shared" si="48"/>
        <v/>
      </c>
      <c r="I180" s="5"/>
      <c r="J180" s="5" t="str">
        <f t="shared" si="49"/>
        <v/>
      </c>
      <c r="K180" s="5" t="str">
        <f t="shared" si="50"/>
        <v/>
      </c>
      <c r="L180" s="5"/>
      <c r="M180" s="5"/>
      <c r="N180" s="5" t="str">
        <f t="shared" si="51"/>
        <v/>
      </c>
      <c r="O180" s="5" t="str">
        <f t="shared" si="52"/>
        <v/>
      </c>
      <c r="P180" s="5">
        <v>18</v>
      </c>
      <c r="Q180" s="5">
        <f t="shared" si="53"/>
        <v>37200</v>
      </c>
      <c r="R180" s="4">
        <v>2.5</v>
      </c>
      <c r="S180" s="4" t="s">
        <v>426</v>
      </c>
      <c r="T180" s="4" t="s">
        <v>427</v>
      </c>
      <c r="U180" s="4" t="s">
        <v>43</v>
      </c>
    </row>
    <row r="181" spans="1:21" ht="30" customHeight="1">
      <c r="A181" s="4">
        <v>177</v>
      </c>
      <c r="B181" s="4" t="s">
        <v>28</v>
      </c>
      <c r="C181" s="5">
        <f t="shared" si="45"/>
        <v>18.7</v>
      </c>
      <c r="D181" s="4"/>
      <c r="E181" s="5" t="str">
        <f t="shared" si="46"/>
        <v/>
      </c>
      <c r="F181" s="5">
        <v>38</v>
      </c>
      <c r="G181" s="5">
        <f t="shared" si="47"/>
        <v>3740</v>
      </c>
      <c r="H181" s="5">
        <f t="shared" si="48"/>
        <v>6.8</v>
      </c>
      <c r="I181" s="5">
        <v>187</v>
      </c>
      <c r="J181" s="5">
        <f t="shared" si="49"/>
        <v>3740</v>
      </c>
      <c r="K181" s="5">
        <f t="shared" si="50"/>
        <v>3.75</v>
      </c>
      <c r="L181" s="5" t="s">
        <v>428</v>
      </c>
      <c r="M181" s="5" t="s">
        <v>429</v>
      </c>
      <c r="N181" s="5">
        <f t="shared" si="51"/>
        <v>3740</v>
      </c>
      <c r="O181" s="5">
        <f t="shared" si="52"/>
        <v>3.75</v>
      </c>
      <c r="P181" s="5"/>
      <c r="Q181" s="5" t="str">
        <f t="shared" si="53"/>
        <v/>
      </c>
      <c r="R181" s="4"/>
      <c r="S181" s="4"/>
      <c r="T181" s="4" t="s">
        <v>430</v>
      </c>
      <c r="U181" s="4" t="s">
        <v>32</v>
      </c>
    </row>
    <row r="182" spans="1:21" ht="30" customHeight="1">
      <c r="A182" s="4">
        <v>178</v>
      </c>
      <c r="B182" s="4" t="s">
        <v>28</v>
      </c>
      <c r="C182" s="5">
        <f t="shared" si="45"/>
        <v>18.8</v>
      </c>
      <c r="D182" s="4"/>
      <c r="E182" s="5" t="str">
        <f t="shared" si="46"/>
        <v/>
      </c>
      <c r="F182" s="5">
        <v>38</v>
      </c>
      <c r="G182" s="5">
        <f t="shared" si="47"/>
        <v>3760</v>
      </c>
      <c r="H182" s="5">
        <f t="shared" si="48"/>
        <v>6.8</v>
      </c>
      <c r="I182" s="5">
        <v>188</v>
      </c>
      <c r="J182" s="5">
        <f t="shared" si="49"/>
        <v>3760</v>
      </c>
      <c r="K182" s="5">
        <f t="shared" si="50"/>
        <v>3.75</v>
      </c>
      <c r="L182" s="5" t="s">
        <v>431</v>
      </c>
      <c r="M182" s="5" t="s">
        <v>429</v>
      </c>
      <c r="N182" s="5">
        <f t="shared" si="51"/>
        <v>3760</v>
      </c>
      <c r="O182" s="5">
        <f t="shared" si="52"/>
        <v>3.75</v>
      </c>
      <c r="P182" s="5"/>
      <c r="Q182" s="5" t="str">
        <f t="shared" si="53"/>
        <v/>
      </c>
      <c r="R182" s="4"/>
      <c r="S182" s="4"/>
      <c r="T182" s="4" t="s">
        <v>432</v>
      </c>
      <c r="U182" s="4" t="s">
        <v>32</v>
      </c>
    </row>
    <row r="183" spans="1:21" ht="30" customHeight="1">
      <c r="A183" s="4">
        <v>179</v>
      </c>
      <c r="B183" s="4" t="s">
        <v>28</v>
      </c>
      <c r="C183" s="5">
        <f t="shared" si="45"/>
        <v>18.899999999999999</v>
      </c>
      <c r="D183" s="4"/>
      <c r="E183" s="5" t="str">
        <f t="shared" si="46"/>
        <v/>
      </c>
      <c r="F183" s="5">
        <v>38</v>
      </c>
      <c r="G183" s="5">
        <f t="shared" si="47"/>
        <v>3779.9999999999995</v>
      </c>
      <c r="H183" s="5">
        <f t="shared" si="48"/>
        <v>6.8</v>
      </c>
      <c r="I183" s="5">
        <v>189</v>
      </c>
      <c r="J183" s="5">
        <f t="shared" si="49"/>
        <v>3779.9999999999995</v>
      </c>
      <c r="K183" s="5">
        <f t="shared" si="50"/>
        <v>3.75</v>
      </c>
      <c r="L183" s="5" t="s">
        <v>433</v>
      </c>
      <c r="M183" s="5" t="s">
        <v>429</v>
      </c>
      <c r="N183" s="5">
        <f t="shared" si="51"/>
        <v>3779.9999999999995</v>
      </c>
      <c r="O183" s="5">
        <f t="shared" si="52"/>
        <v>3.75</v>
      </c>
      <c r="P183" s="5"/>
      <c r="Q183" s="5" t="str">
        <f t="shared" si="53"/>
        <v/>
      </c>
      <c r="R183" s="4"/>
      <c r="S183" s="4"/>
      <c r="T183" s="4" t="s">
        <v>434</v>
      </c>
      <c r="U183" s="4" t="s">
        <v>32</v>
      </c>
    </row>
    <row r="184" spans="1:21" ht="30" customHeight="1">
      <c r="A184" s="4">
        <v>180</v>
      </c>
      <c r="B184" s="4" t="s">
        <v>28</v>
      </c>
      <c r="C184" s="5">
        <f t="shared" si="45"/>
        <v>19</v>
      </c>
      <c r="D184" s="4"/>
      <c r="E184" s="5" t="str">
        <f t="shared" si="46"/>
        <v/>
      </c>
      <c r="F184" s="5">
        <v>38</v>
      </c>
      <c r="G184" s="5">
        <f t="shared" si="47"/>
        <v>3800</v>
      </c>
      <c r="H184" s="5">
        <f t="shared" si="48"/>
        <v>6.8</v>
      </c>
      <c r="I184" s="5">
        <v>190</v>
      </c>
      <c r="J184" s="5">
        <f t="shared" si="49"/>
        <v>3800</v>
      </c>
      <c r="K184" s="5">
        <f t="shared" si="50"/>
        <v>3.75</v>
      </c>
      <c r="L184" s="5" t="s">
        <v>435</v>
      </c>
      <c r="M184" s="5" t="s">
        <v>436</v>
      </c>
      <c r="N184" s="5">
        <f t="shared" si="51"/>
        <v>3800</v>
      </c>
      <c r="O184" s="5">
        <f t="shared" si="52"/>
        <v>3.75</v>
      </c>
      <c r="P184" s="5"/>
      <c r="Q184" s="5" t="str">
        <f t="shared" si="53"/>
        <v/>
      </c>
      <c r="R184" s="4"/>
      <c r="S184" s="4"/>
      <c r="T184" s="4" t="s">
        <v>437</v>
      </c>
      <c r="U184" s="4" t="s">
        <v>32</v>
      </c>
    </row>
    <row r="185" spans="1:21" ht="30" customHeight="1">
      <c r="A185" s="4">
        <v>181</v>
      </c>
      <c r="B185" s="4" t="s">
        <v>28</v>
      </c>
      <c r="C185" s="5">
        <f t="shared" si="45"/>
        <v>19.100000000000001</v>
      </c>
      <c r="D185" s="4"/>
      <c r="E185" s="5" t="str">
        <f t="shared" si="46"/>
        <v/>
      </c>
      <c r="F185" s="5">
        <v>39</v>
      </c>
      <c r="G185" s="5">
        <f t="shared" si="47"/>
        <v>3820.0000000000005</v>
      </c>
      <c r="H185" s="5">
        <f t="shared" si="48"/>
        <v>6.8</v>
      </c>
      <c r="I185" s="5">
        <v>191</v>
      </c>
      <c r="J185" s="5">
        <f t="shared" si="49"/>
        <v>3820.0000000000005</v>
      </c>
      <c r="K185" s="5">
        <f t="shared" si="50"/>
        <v>3.75</v>
      </c>
      <c r="L185" s="5" t="s">
        <v>438</v>
      </c>
      <c r="M185" s="5" t="s">
        <v>436</v>
      </c>
      <c r="N185" s="5">
        <f t="shared" si="51"/>
        <v>3820.0000000000005</v>
      </c>
      <c r="O185" s="5">
        <f t="shared" si="52"/>
        <v>3.75</v>
      </c>
      <c r="P185" s="5"/>
      <c r="Q185" s="5" t="str">
        <f t="shared" si="53"/>
        <v/>
      </c>
      <c r="R185" s="4"/>
      <c r="S185" s="4"/>
      <c r="T185" s="4" t="s">
        <v>439</v>
      </c>
      <c r="U185" s="4" t="s">
        <v>32</v>
      </c>
    </row>
    <row r="186" spans="1:21" ht="30" customHeight="1">
      <c r="A186" s="4">
        <v>182</v>
      </c>
      <c r="B186" s="4" t="s">
        <v>28</v>
      </c>
      <c r="C186" s="5">
        <f t="shared" si="45"/>
        <v>19.2</v>
      </c>
      <c r="D186" s="4"/>
      <c r="E186" s="5" t="str">
        <f t="shared" si="46"/>
        <v/>
      </c>
      <c r="F186" s="5">
        <v>39</v>
      </c>
      <c r="G186" s="5">
        <f t="shared" si="47"/>
        <v>3840</v>
      </c>
      <c r="H186" s="5">
        <f t="shared" si="48"/>
        <v>6.8</v>
      </c>
      <c r="I186" s="5">
        <v>192</v>
      </c>
      <c r="J186" s="5">
        <f t="shared" si="49"/>
        <v>3840</v>
      </c>
      <c r="K186" s="5">
        <f t="shared" si="50"/>
        <v>3.75</v>
      </c>
      <c r="L186" s="5" t="s">
        <v>440</v>
      </c>
      <c r="M186" s="5" t="s">
        <v>436</v>
      </c>
      <c r="N186" s="5">
        <f t="shared" si="51"/>
        <v>3840</v>
      </c>
      <c r="O186" s="5">
        <f t="shared" si="52"/>
        <v>3.75</v>
      </c>
      <c r="P186" s="5"/>
      <c r="Q186" s="5" t="str">
        <f t="shared" si="53"/>
        <v/>
      </c>
      <c r="R186" s="4"/>
      <c r="S186" s="4"/>
      <c r="T186" s="4" t="s">
        <v>441</v>
      </c>
      <c r="U186" s="4" t="s">
        <v>32</v>
      </c>
    </row>
    <row r="187" spans="1:21" ht="30" customHeight="1">
      <c r="A187" s="4">
        <v>183</v>
      </c>
      <c r="B187" s="4" t="s">
        <v>28</v>
      </c>
      <c r="C187" s="5">
        <f t="shared" si="45"/>
        <v>19.3</v>
      </c>
      <c r="D187" s="4"/>
      <c r="E187" s="5" t="str">
        <f t="shared" si="46"/>
        <v/>
      </c>
      <c r="F187" s="5">
        <v>39</v>
      </c>
      <c r="G187" s="5">
        <f t="shared" si="47"/>
        <v>3860</v>
      </c>
      <c r="H187" s="5">
        <f t="shared" si="48"/>
        <v>6.8</v>
      </c>
      <c r="I187" s="5">
        <v>193</v>
      </c>
      <c r="J187" s="5">
        <f t="shared" si="49"/>
        <v>3860</v>
      </c>
      <c r="K187" s="5">
        <f t="shared" si="50"/>
        <v>3.75</v>
      </c>
      <c r="L187" s="5" t="s">
        <v>442</v>
      </c>
      <c r="M187" s="5" t="s">
        <v>443</v>
      </c>
      <c r="N187" s="5">
        <f t="shared" si="51"/>
        <v>3860</v>
      </c>
      <c r="O187" s="5">
        <f t="shared" si="52"/>
        <v>3.75</v>
      </c>
      <c r="P187" s="5"/>
      <c r="Q187" s="5" t="str">
        <f t="shared" si="53"/>
        <v/>
      </c>
      <c r="R187" s="4"/>
      <c r="S187" s="4"/>
      <c r="T187" s="4" t="s">
        <v>444</v>
      </c>
      <c r="U187" s="4" t="s">
        <v>32</v>
      </c>
    </row>
    <row r="188" spans="1:21" ht="30" customHeight="1">
      <c r="A188" s="4">
        <v>184</v>
      </c>
      <c r="B188" s="4" t="s">
        <v>40</v>
      </c>
      <c r="C188" s="5">
        <f t="shared" si="45"/>
        <v>19.399999999999999</v>
      </c>
      <c r="D188" s="4"/>
      <c r="E188" s="5" t="str">
        <f t="shared" si="46"/>
        <v/>
      </c>
      <c r="F188" s="5"/>
      <c r="G188" s="5" t="str">
        <f t="shared" si="47"/>
        <v/>
      </c>
      <c r="H188" s="5" t="str">
        <f t="shared" si="48"/>
        <v/>
      </c>
      <c r="I188" s="5"/>
      <c r="J188" s="5" t="str">
        <f t="shared" si="49"/>
        <v/>
      </c>
      <c r="K188" s="5" t="str">
        <f t="shared" si="50"/>
        <v/>
      </c>
      <c r="L188" s="5"/>
      <c r="M188" s="5"/>
      <c r="N188" s="5" t="str">
        <f t="shared" si="51"/>
        <v/>
      </c>
      <c r="O188" s="5" t="str">
        <f t="shared" si="52"/>
        <v/>
      </c>
      <c r="P188" s="5">
        <v>19</v>
      </c>
      <c r="Q188" s="5">
        <f t="shared" si="53"/>
        <v>38800</v>
      </c>
      <c r="R188" s="4">
        <v>2.5</v>
      </c>
      <c r="S188" s="4" t="s">
        <v>445</v>
      </c>
      <c r="T188" s="4" t="s">
        <v>446</v>
      </c>
      <c r="U188" s="4" t="s">
        <v>43</v>
      </c>
    </row>
    <row r="189" spans="1:21" ht="30" customHeight="1">
      <c r="A189" s="4">
        <v>185</v>
      </c>
      <c r="B189" s="4" t="s">
        <v>28</v>
      </c>
      <c r="C189" s="5">
        <f t="shared" si="45"/>
        <v>19.5</v>
      </c>
      <c r="D189" s="4"/>
      <c r="E189" s="5" t="str">
        <f t="shared" si="46"/>
        <v/>
      </c>
      <c r="F189" s="5">
        <v>39</v>
      </c>
      <c r="G189" s="5">
        <f t="shared" si="47"/>
        <v>3900</v>
      </c>
      <c r="H189" s="5">
        <f t="shared" si="48"/>
        <v>6.8</v>
      </c>
      <c r="I189" s="5">
        <v>195</v>
      </c>
      <c r="J189" s="5">
        <f t="shared" si="49"/>
        <v>3900</v>
      </c>
      <c r="K189" s="5">
        <f t="shared" si="50"/>
        <v>3.75</v>
      </c>
      <c r="L189" s="5" t="s">
        <v>447</v>
      </c>
      <c r="M189" s="5" t="s">
        <v>443</v>
      </c>
      <c r="N189" s="5">
        <f t="shared" si="51"/>
        <v>3900</v>
      </c>
      <c r="O189" s="5">
        <f t="shared" si="52"/>
        <v>3.75</v>
      </c>
      <c r="P189" s="5"/>
      <c r="Q189" s="5" t="str">
        <f t="shared" si="53"/>
        <v/>
      </c>
      <c r="R189" s="4"/>
      <c r="S189" s="4"/>
      <c r="T189" s="4" t="s">
        <v>448</v>
      </c>
      <c r="U189" s="4" t="s">
        <v>32</v>
      </c>
    </row>
    <row r="190" spans="1:21" ht="30" customHeight="1">
      <c r="A190" s="4">
        <v>186</v>
      </c>
      <c r="B190" s="4" t="s">
        <v>28</v>
      </c>
      <c r="C190" s="5">
        <f t="shared" si="45"/>
        <v>19.600000000000001</v>
      </c>
      <c r="D190" s="4"/>
      <c r="E190" s="5" t="str">
        <f t="shared" si="46"/>
        <v/>
      </c>
      <c r="F190" s="5">
        <v>40</v>
      </c>
      <c r="G190" s="5">
        <f t="shared" si="47"/>
        <v>3920.0000000000005</v>
      </c>
      <c r="H190" s="5">
        <f t="shared" si="48"/>
        <v>6.8</v>
      </c>
      <c r="I190" s="5">
        <v>196</v>
      </c>
      <c r="J190" s="5">
        <f t="shared" si="49"/>
        <v>3920.0000000000005</v>
      </c>
      <c r="K190" s="5">
        <f t="shared" si="50"/>
        <v>3.75</v>
      </c>
      <c r="L190" s="5" t="s">
        <v>449</v>
      </c>
      <c r="M190" s="5" t="s">
        <v>450</v>
      </c>
      <c r="N190" s="5">
        <f t="shared" si="51"/>
        <v>3920.0000000000005</v>
      </c>
      <c r="O190" s="5">
        <f t="shared" si="52"/>
        <v>3.75</v>
      </c>
      <c r="P190" s="5"/>
      <c r="Q190" s="5" t="str">
        <f t="shared" si="53"/>
        <v/>
      </c>
      <c r="R190" s="4"/>
      <c r="S190" s="4"/>
      <c r="T190" s="4" t="s">
        <v>451</v>
      </c>
      <c r="U190" s="4" t="s">
        <v>32</v>
      </c>
    </row>
    <row r="191" spans="1:21" ht="30" customHeight="1">
      <c r="A191" s="4">
        <v>187</v>
      </c>
      <c r="B191" s="4" t="s">
        <v>28</v>
      </c>
      <c r="C191" s="5">
        <f t="shared" si="45"/>
        <v>19.7</v>
      </c>
      <c r="D191" s="4"/>
      <c r="E191" s="5" t="str">
        <f t="shared" si="46"/>
        <v/>
      </c>
      <c r="F191" s="5">
        <v>40</v>
      </c>
      <c r="G191" s="5">
        <f t="shared" si="47"/>
        <v>3940</v>
      </c>
      <c r="H191" s="5">
        <f t="shared" si="48"/>
        <v>6.8</v>
      </c>
      <c r="I191" s="5">
        <v>197</v>
      </c>
      <c r="J191" s="5">
        <f t="shared" si="49"/>
        <v>3940</v>
      </c>
      <c r="K191" s="5">
        <f t="shared" si="50"/>
        <v>3.75</v>
      </c>
      <c r="L191" s="5" t="s">
        <v>452</v>
      </c>
      <c r="M191" s="5" t="s">
        <v>450</v>
      </c>
      <c r="N191" s="5">
        <f t="shared" si="51"/>
        <v>3940</v>
      </c>
      <c r="O191" s="5">
        <f t="shared" si="52"/>
        <v>3.75</v>
      </c>
      <c r="P191" s="5"/>
      <c r="Q191" s="5" t="str">
        <f t="shared" si="53"/>
        <v/>
      </c>
      <c r="R191" s="4"/>
      <c r="S191" s="4"/>
      <c r="T191" s="4" t="s">
        <v>453</v>
      </c>
      <c r="U191" s="4" t="s">
        <v>32</v>
      </c>
    </row>
    <row r="192" spans="1:21" ht="30" customHeight="1">
      <c r="A192" s="4">
        <v>188</v>
      </c>
      <c r="B192" s="4" t="s">
        <v>28</v>
      </c>
      <c r="C192" s="5">
        <f t="shared" si="45"/>
        <v>19.8</v>
      </c>
      <c r="D192" s="4"/>
      <c r="E192" s="5" t="str">
        <f t="shared" si="46"/>
        <v/>
      </c>
      <c r="F192" s="5">
        <v>40</v>
      </c>
      <c r="G192" s="5">
        <f t="shared" si="47"/>
        <v>3960</v>
      </c>
      <c r="H192" s="5">
        <f t="shared" si="48"/>
        <v>6.8</v>
      </c>
      <c r="I192" s="5">
        <v>198</v>
      </c>
      <c r="J192" s="5">
        <f t="shared" si="49"/>
        <v>3960</v>
      </c>
      <c r="K192" s="5">
        <f t="shared" si="50"/>
        <v>3.75</v>
      </c>
      <c r="L192" s="5" t="s">
        <v>454</v>
      </c>
      <c r="M192" s="5" t="s">
        <v>450</v>
      </c>
      <c r="N192" s="5">
        <f t="shared" si="51"/>
        <v>3960</v>
      </c>
      <c r="O192" s="5">
        <f t="shared" si="52"/>
        <v>3.75</v>
      </c>
      <c r="P192" s="5"/>
      <c r="Q192" s="5" t="str">
        <f t="shared" si="53"/>
        <v/>
      </c>
      <c r="R192" s="4"/>
      <c r="S192" s="4"/>
      <c r="T192" s="4" t="s">
        <v>455</v>
      </c>
      <c r="U192" s="4" t="s">
        <v>32</v>
      </c>
    </row>
    <row r="193" spans="1:21" ht="30" customHeight="1">
      <c r="A193" s="4">
        <v>189</v>
      </c>
      <c r="B193" s="4" t="s">
        <v>28</v>
      </c>
      <c r="C193" s="5">
        <f t="shared" si="45"/>
        <v>19.899999999999999</v>
      </c>
      <c r="D193" s="4"/>
      <c r="E193" s="5" t="str">
        <f t="shared" si="46"/>
        <v/>
      </c>
      <c r="F193" s="5">
        <v>40</v>
      </c>
      <c r="G193" s="5">
        <f t="shared" si="47"/>
        <v>3979.9999999999995</v>
      </c>
      <c r="H193" s="5">
        <f t="shared" si="48"/>
        <v>6.8</v>
      </c>
      <c r="I193" s="5">
        <v>199</v>
      </c>
      <c r="J193" s="5">
        <f t="shared" si="49"/>
        <v>3979.9999999999995</v>
      </c>
      <c r="K193" s="5">
        <f t="shared" si="50"/>
        <v>3.75</v>
      </c>
      <c r="L193" s="5" t="s">
        <v>456</v>
      </c>
      <c r="M193" s="5" t="s">
        <v>457</v>
      </c>
      <c r="N193" s="5">
        <f t="shared" si="51"/>
        <v>3979.9999999999995</v>
      </c>
      <c r="O193" s="5">
        <f t="shared" si="52"/>
        <v>3.75</v>
      </c>
      <c r="P193" s="5"/>
      <c r="Q193" s="5" t="str">
        <f t="shared" si="53"/>
        <v/>
      </c>
      <c r="R193" s="4"/>
      <c r="S193" s="4"/>
      <c r="T193" s="4" t="s">
        <v>458</v>
      </c>
      <c r="U193" s="4" t="s">
        <v>32</v>
      </c>
    </row>
    <row r="194" spans="1:21" ht="30" customHeight="1">
      <c r="A194" s="4">
        <v>190</v>
      </c>
      <c r="B194" s="4" t="s">
        <v>28</v>
      </c>
      <c r="C194" s="5">
        <f t="shared" si="45"/>
        <v>20</v>
      </c>
      <c r="D194" s="4"/>
      <c r="E194" s="5" t="str">
        <f t="shared" si="46"/>
        <v/>
      </c>
      <c r="F194" s="5">
        <v>40</v>
      </c>
      <c r="G194" s="5">
        <f t="shared" si="47"/>
        <v>4000</v>
      </c>
      <c r="H194" s="5">
        <f t="shared" si="48"/>
        <v>6.8</v>
      </c>
      <c r="I194" s="5">
        <v>200</v>
      </c>
      <c r="J194" s="5">
        <f t="shared" si="49"/>
        <v>4000</v>
      </c>
      <c r="K194" s="5">
        <f t="shared" si="50"/>
        <v>3.75</v>
      </c>
      <c r="L194" s="5" t="s">
        <v>459</v>
      </c>
      <c r="M194" s="5" t="s">
        <v>457</v>
      </c>
      <c r="N194" s="5">
        <f t="shared" si="51"/>
        <v>4000</v>
      </c>
      <c r="O194" s="5">
        <f t="shared" si="52"/>
        <v>3.75</v>
      </c>
      <c r="P194" s="5"/>
      <c r="Q194" s="5" t="str">
        <f t="shared" si="53"/>
        <v/>
      </c>
      <c r="R194" s="4"/>
      <c r="S194" s="4"/>
      <c r="T194" s="4" t="s">
        <v>460</v>
      </c>
      <c r="U194" s="4" t="s">
        <v>32</v>
      </c>
    </row>
    <row r="195" spans="1:21" ht="30" customHeight="1">
      <c r="A195" s="4">
        <v>191</v>
      </c>
      <c r="B195" s="4" t="s">
        <v>28</v>
      </c>
      <c r="C195" s="5">
        <f t="shared" si="45"/>
        <v>20.100000000000001</v>
      </c>
      <c r="D195" s="4"/>
      <c r="E195" s="5" t="str">
        <f t="shared" si="46"/>
        <v/>
      </c>
      <c r="F195" s="5">
        <v>41</v>
      </c>
      <c r="G195" s="5">
        <f t="shared" si="47"/>
        <v>4020.0000000000005</v>
      </c>
      <c r="H195" s="5">
        <f t="shared" si="48"/>
        <v>6.8</v>
      </c>
      <c r="I195" s="5">
        <v>201</v>
      </c>
      <c r="J195" s="5">
        <f t="shared" si="49"/>
        <v>4020.0000000000005</v>
      </c>
      <c r="K195" s="5">
        <f t="shared" si="50"/>
        <v>3.75</v>
      </c>
      <c r="L195" s="5" t="s">
        <v>461</v>
      </c>
      <c r="M195" s="5" t="s">
        <v>457</v>
      </c>
      <c r="N195" s="5">
        <f t="shared" si="51"/>
        <v>4020.0000000000005</v>
      </c>
      <c r="O195" s="5">
        <f t="shared" si="52"/>
        <v>3.75</v>
      </c>
      <c r="P195" s="5"/>
      <c r="Q195" s="5" t="str">
        <f t="shared" si="53"/>
        <v/>
      </c>
      <c r="R195" s="4"/>
      <c r="S195" s="4"/>
      <c r="T195" s="4" t="s">
        <v>462</v>
      </c>
      <c r="U195" s="4" t="s">
        <v>32</v>
      </c>
    </row>
    <row r="196" spans="1:21" ht="30" customHeight="1">
      <c r="A196" s="4">
        <v>192</v>
      </c>
      <c r="B196" s="4" t="s">
        <v>40</v>
      </c>
      <c r="C196" s="5">
        <f t="shared" si="45"/>
        <v>20.2</v>
      </c>
      <c r="D196" s="4"/>
      <c r="E196" s="5" t="str">
        <f t="shared" si="46"/>
        <v/>
      </c>
      <c r="F196" s="5"/>
      <c r="G196" s="5" t="str">
        <f t="shared" si="47"/>
        <v/>
      </c>
      <c r="H196" s="5" t="str">
        <f t="shared" si="48"/>
        <v/>
      </c>
      <c r="I196" s="5"/>
      <c r="J196" s="5" t="str">
        <f t="shared" si="49"/>
        <v/>
      </c>
      <c r="K196" s="5" t="str">
        <f t="shared" si="50"/>
        <v/>
      </c>
      <c r="L196" s="5"/>
      <c r="M196" s="5"/>
      <c r="N196" s="5" t="str">
        <f t="shared" si="51"/>
        <v/>
      </c>
      <c r="O196" s="5" t="str">
        <f t="shared" si="52"/>
        <v/>
      </c>
      <c r="P196" s="5">
        <v>20</v>
      </c>
      <c r="Q196" s="5">
        <f t="shared" si="53"/>
        <v>40400</v>
      </c>
      <c r="R196" s="4">
        <v>2.5</v>
      </c>
      <c r="S196" s="4" t="s">
        <v>463</v>
      </c>
      <c r="T196" s="4" t="s">
        <v>464</v>
      </c>
      <c r="U196" s="4" t="s">
        <v>43</v>
      </c>
    </row>
    <row r="197" spans="1:21" ht="30" customHeight="1">
      <c r="A197" s="4">
        <v>193</v>
      </c>
      <c r="B197" s="4" t="s">
        <v>28</v>
      </c>
      <c r="C197" s="5">
        <f t="shared" ref="C197:C204" si="54">1+A197/10</f>
        <v>20.3</v>
      </c>
      <c r="D197" s="4"/>
      <c r="E197" s="5" t="str">
        <f t="shared" ref="E197:E228" si="55">IF(D197&lt;&gt;"",50*C197,"")</f>
        <v/>
      </c>
      <c r="F197" s="5">
        <v>41</v>
      </c>
      <c r="G197" s="5">
        <f t="shared" ref="G197:G228" si="56">IF(F197&lt;&gt;"",200*C197,"")</f>
        <v>4060</v>
      </c>
      <c r="H197" s="5">
        <f t="shared" ref="H197:H204" si="57">IF(F197&lt;&gt;"",MIN(4*(1+A197/30),4*1.7),"")</f>
        <v>6.8</v>
      </c>
      <c r="I197" s="5">
        <v>203</v>
      </c>
      <c r="J197" s="5">
        <f t="shared" ref="J197:J228" si="58">IF(I197&lt;&gt;"",200*C197,"")</f>
        <v>4060</v>
      </c>
      <c r="K197" s="5">
        <f t="shared" ref="K197:K204" si="59">IF(I197&lt;&gt;"",2.5*MIN(1+A197/30,1.5),"")</f>
        <v>3.75</v>
      </c>
      <c r="L197" s="5" t="s">
        <v>465</v>
      </c>
      <c r="M197" s="5" t="s">
        <v>466</v>
      </c>
      <c r="N197" s="5">
        <f t="shared" ref="N197:N228" si="60">IF(M197&lt;&gt;"",200*C197,"")</f>
        <v>4060</v>
      </c>
      <c r="O197" s="5">
        <f t="shared" ref="O197:O204" si="61">IF(M197&lt;&gt;"",2.5*MIN(1+A197/30,1.5),"")</f>
        <v>3.75</v>
      </c>
      <c r="P197" s="5"/>
      <c r="Q197" s="5" t="str">
        <f t="shared" ref="Q197:Q228" si="62">IF(P197&lt;&gt;"",2000*C197,"")</f>
        <v/>
      </c>
      <c r="R197" s="4"/>
      <c r="S197" s="4"/>
      <c r="T197" s="4" t="s">
        <v>467</v>
      </c>
      <c r="U197" s="4" t="s">
        <v>32</v>
      </c>
    </row>
    <row r="198" spans="1:21" ht="30" customHeight="1">
      <c r="A198" s="4">
        <v>194</v>
      </c>
      <c r="B198" s="4" t="s">
        <v>28</v>
      </c>
      <c r="C198" s="5">
        <f t="shared" si="54"/>
        <v>20.399999999999999</v>
      </c>
      <c r="D198" s="4"/>
      <c r="E198" s="5" t="str">
        <f t="shared" si="55"/>
        <v/>
      </c>
      <c r="F198" s="5">
        <v>41</v>
      </c>
      <c r="G198" s="5">
        <f t="shared" si="56"/>
        <v>4079.9999999999995</v>
      </c>
      <c r="H198" s="5">
        <f t="shared" si="57"/>
        <v>6.8</v>
      </c>
      <c r="I198" s="5">
        <v>204</v>
      </c>
      <c r="J198" s="5">
        <f t="shared" si="58"/>
        <v>4079.9999999999995</v>
      </c>
      <c r="K198" s="5">
        <f t="shared" si="59"/>
        <v>3.75</v>
      </c>
      <c r="L198" s="5" t="s">
        <v>468</v>
      </c>
      <c r="M198" s="5" t="s">
        <v>466</v>
      </c>
      <c r="N198" s="5">
        <f t="shared" si="60"/>
        <v>4079.9999999999995</v>
      </c>
      <c r="O198" s="5">
        <f t="shared" si="61"/>
        <v>3.75</v>
      </c>
      <c r="P198" s="5"/>
      <c r="Q198" s="5" t="str">
        <f t="shared" si="62"/>
        <v/>
      </c>
      <c r="R198" s="4"/>
      <c r="S198" s="4"/>
      <c r="T198" s="4" t="s">
        <v>469</v>
      </c>
      <c r="U198" s="4" t="s">
        <v>32</v>
      </c>
    </row>
    <row r="199" spans="1:21" ht="30" customHeight="1">
      <c r="A199" s="4">
        <v>195</v>
      </c>
      <c r="B199" s="4" t="s">
        <v>28</v>
      </c>
      <c r="C199" s="5">
        <f t="shared" si="54"/>
        <v>20.5</v>
      </c>
      <c r="D199" s="4"/>
      <c r="E199" s="5" t="str">
        <f t="shared" si="55"/>
        <v/>
      </c>
      <c r="F199" s="5">
        <v>41</v>
      </c>
      <c r="G199" s="5">
        <f t="shared" si="56"/>
        <v>4100</v>
      </c>
      <c r="H199" s="5">
        <f t="shared" si="57"/>
        <v>6.8</v>
      </c>
      <c r="I199" s="5">
        <v>205</v>
      </c>
      <c r="J199" s="5">
        <f t="shared" si="58"/>
        <v>4100</v>
      </c>
      <c r="K199" s="5">
        <f t="shared" si="59"/>
        <v>3.75</v>
      </c>
      <c r="L199" s="5" t="s">
        <v>470</v>
      </c>
      <c r="M199" s="5" t="s">
        <v>471</v>
      </c>
      <c r="N199" s="5">
        <f t="shared" si="60"/>
        <v>4100</v>
      </c>
      <c r="O199" s="5">
        <f t="shared" si="61"/>
        <v>3.75</v>
      </c>
      <c r="P199" s="5"/>
      <c r="Q199" s="5" t="str">
        <f t="shared" si="62"/>
        <v/>
      </c>
      <c r="R199" s="4"/>
      <c r="S199" s="4"/>
      <c r="T199" s="4" t="s">
        <v>472</v>
      </c>
      <c r="U199" s="4" t="s">
        <v>32</v>
      </c>
    </row>
    <row r="200" spans="1:21" ht="30" customHeight="1">
      <c r="A200" s="4">
        <v>196</v>
      </c>
      <c r="B200" s="4" t="s">
        <v>28</v>
      </c>
      <c r="C200" s="5">
        <f t="shared" si="54"/>
        <v>20.6</v>
      </c>
      <c r="D200" s="4"/>
      <c r="E200" s="5" t="str">
        <f t="shared" si="55"/>
        <v/>
      </c>
      <c r="F200" s="5">
        <v>42</v>
      </c>
      <c r="G200" s="5">
        <f t="shared" si="56"/>
        <v>4120</v>
      </c>
      <c r="H200" s="5">
        <f t="shared" si="57"/>
        <v>6.8</v>
      </c>
      <c r="I200" s="5">
        <v>206</v>
      </c>
      <c r="J200" s="5">
        <f t="shared" si="58"/>
        <v>4120</v>
      </c>
      <c r="K200" s="5">
        <f t="shared" si="59"/>
        <v>3.75</v>
      </c>
      <c r="L200" s="5" t="s">
        <v>473</v>
      </c>
      <c r="M200" s="5" t="s">
        <v>471</v>
      </c>
      <c r="N200" s="5">
        <f t="shared" si="60"/>
        <v>4120</v>
      </c>
      <c r="O200" s="5">
        <f t="shared" si="61"/>
        <v>3.75</v>
      </c>
      <c r="P200" s="5"/>
      <c r="Q200" s="5" t="str">
        <f t="shared" si="62"/>
        <v/>
      </c>
      <c r="R200" s="4"/>
      <c r="S200" s="4"/>
      <c r="T200" s="4" t="s">
        <v>474</v>
      </c>
      <c r="U200" s="4" t="s">
        <v>32</v>
      </c>
    </row>
    <row r="201" spans="1:21" ht="30" customHeight="1">
      <c r="A201" s="4">
        <v>197</v>
      </c>
      <c r="B201" s="4" t="s">
        <v>28</v>
      </c>
      <c r="C201" s="5">
        <f t="shared" si="54"/>
        <v>20.7</v>
      </c>
      <c r="D201" s="4"/>
      <c r="E201" s="5" t="str">
        <f t="shared" si="55"/>
        <v/>
      </c>
      <c r="F201" s="5">
        <v>42</v>
      </c>
      <c r="G201" s="5">
        <f t="shared" si="56"/>
        <v>4140</v>
      </c>
      <c r="H201" s="5">
        <f t="shared" si="57"/>
        <v>6.8</v>
      </c>
      <c r="I201" s="5">
        <v>207</v>
      </c>
      <c r="J201" s="5">
        <f t="shared" si="58"/>
        <v>4140</v>
      </c>
      <c r="K201" s="5">
        <f t="shared" si="59"/>
        <v>3.75</v>
      </c>
      <c r="L201" s="5" t="s">
        <v>475</v>
      </c>
      <c r="M201" s="5" t="s">
        <v>471</v>
      </c>
      <c r="N201" s="5">
        <f t="shared" si="60"/>
        <v>4140</v>
      </c>
      <c r="O201" s="5">
        <f t="shared" si="61"/>
        <v>3.75</v>
      </c>
      <c r="P201" s="5"/>
      <c r="Q201" s="5" t="str">
        <f t="shared" si="62"/>
        <v/>
      </c>
      <c r="R201" s="4"/>
      <c r="S201" s="4"/>
      <c r="T201" s="4" t="s">
        <v>476</v>
      </c>
      <c r="U201" s="4" t="s">
        <v>32</v>
      </c>
    </row>
    <row r="202" spans="1:21" ht="30" customHeight="1">
      <c r="A202" s="4">
        <v>198</v>
      </c>
      <c r="B202" s="4" t="s">
        <v>28</v>
      </c>
      <c r="C202" s="5">
        <f t="shared" si="54"/>
        <v>20.8</v>
      </c>
      <c r="D202" s="4"/>
      <c r="E202" s="5" t="str">
        <f t="shared" si="55"/>
        <v/>
      </c>
      <c r="F202" s="5">
        <v>42</v>
      </c>
      <c r="G202" s="5">
        <f t="shared" si="56"/>
        <v>4160</v>
      </c>
      <c r="H202" s="5">
        <f t="shared" si="57"/>
        <v>6.8</v>
      </c>
      <c r="I202" s="5">
        <v>208</v>
      </c>
      <c r="J202" s="5">
        <f t="shared" si="58"/>
        <v>4160</v>
      </c>
      <c r="K202" s="5">
        <f t="shared" si="59"/>
        <v>3.75</v>
      </c>
      <c r="L202" s="5" t="s">
        <v>477</v>
      </c>
      <c r="M202" s="5" t="s">
        <v>478</v>
      </c>
      <c r="N202" s="5">
        <f t="shared" si="60"/>
        <v>4160</v>
      </c>
      <c r="O202" s="5">
        <f t="shared" si="61"/>
        <v>3.75</v>
      </c>
      <c r="P202" s="5"/>
      <c r="Q202" s="5" t="str">
        <f t="shared" si="62"/>
        <v/>
      </c>
      <c r="R202" s="4"/>
      <c r="S202" s="4"/>
      <c r="T202" s="4" t="s">
        <v>479</v>
      </c>
      <c r="U202" s="4" t="s">
        <v>32</v>
      </c>
    </row>
    <row r="203" spans="1:21" ht="30" customHeight="1">
      <c r="A203" s="4">
        <v>199</v>
      </c>
      <c r="B203" s="4" t="s">
        <v>28</v>
      </c>
      <c r="C203" s="5">
        <f t="shared" si="54"/>
        <v>20.9</v>
      </c>
      <c r="D203" s="4"/>
      <c r="E203" s="5" t="str">
        <f t="shared" si="55"/>
        <v/>
      </c>
      <c r="F203" s="5">
        <v>42</v>
      </c>
      <c r="G203" s="5">
        <f t="shared" si="56"/>
        <v>4180</v>
      </c>
      <c r="H203" s="5">
        <f t="shared" si="57"/>
        <v>6.8</v>
      </c>
      <c r="I203" s="5">
        <v>209</v>
      </c>
      <c r="J203" s="5">
        <f t="shared" si="58"/>
        <v>4180</v>
      </c>
      <c r="K203" s="5">
        <f t="shared" si="59"/>
        <v>3.75</v>
      </c>
      <c r="L203" s="5" t="s">
        <v>480</v>
      </c>
      <c r="M203" s="5" t="s">
        <v>478</v>
      </c>
      <c r="N203" s="5">
        <f t="shared" si="60"/>
        <v>4180</v>
      </c>
      <c r="O203" s="5">
        <f t="shared" si="61"/>
        <v>3.75</v>
      </c>
      <c r="P203" s="5"/>
      <c r="Q203" s="5" t="str">
        <f t="shared" si="62"/>
        <v/>
      </c>
      <c r="R203" s="4"/>
      <c r="S203" s="4"/>
      <c r="T203" s="4" t="s">
        <v>481</v>
      </c>
      <c r="U203" s="4" t="s">
        <v>32</v>
      </c>
    </row>
    <row r="204" spans="1:21" ht="30" customHeight="1">
      <c r="A204" s="6">
        <v>200</v>
      </c>
      <c r="B204" s="6" t="s">
        <v>40</v>
      </c>
      <c r="C204" s="7">
        <f t="shared" si="54"/>
        <v>21</v>
      </c>
      <c r="D204" s="6"/>
      <c r="E204" s="7" t="str">
        <f t="shared" si="55"/>
        <v/>
      </c>
      <c r="F204" s="7"/>
      <c r="G204" s="7" t="str">
        <f t="shared" si="56"/>
        <v/>
      </c>
      <c r="H204" s="7" t="str">
        <f t="shared" si="57"/>
        <v/>
      </c>
      <c r="I204" s="7"/>
      <c r="J204" s="7" t="str">
        <f t="shared" si="58"/>
        <v/>
      </c>
      <c r="K204" s="7" t="str">
        <f t="shared" si="59"/>
        <v/>
      </c>
      <c r="L204" s="7"/>
      <c r="M204" s="7"/>
      <c r="N204" s="7" t="str">
        <f t="shared" si="60"/>
        <v/>
      </c>
      <c r="O204" s="7" t="str">
        <f t="shared" si="61"/>
        <v/>
      </c>
      <c r="P204" s="7">
        <v>20</v>
      </c>
      <c r="Q204" s="7">
        <f t="shared" si="62"/>
        <v>42000</v>
      </c>
      <c r="R204" s="6">
        <v>2.5</v>
      </c>
      <c r="S204" s="6" t="s">
        <v>463</v>
      </c>
      <c r="T204" s="6" t="s">
        <v>464</v>
      </c>
      <c r="U204" s="6" t="s">
        <v>43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3.5"/>
  <cols>
    <col min="1" max="1" width="18" customWidth="1"/>
    <col min="2" max="2" width="14" customWidth="1"/>
    <col min="3" max="7" width="13" customWidth="1"/>
    <col min="8" max="9" width="48" customWidth="1"/>
  </cols>
  <sheetData>
    <row r="1" spans="1:9" ht="28.05" customHeight="1">
      <c r="A1" s="1" t="s">
        <v>482</v>
      </c>
      <c r="B1" s="1"/>
      <c r="C1" s="1"/>
      <c r="D1" s="1"/>
      <c r="E1" s="1"/>
      <c r="F1" s="1"/>
      <c r="G1" s="1"/>
      <c r="H1" s="1"/>
      <c r="I1" s="1"/>
    </row>
    <row r="2" spans="1:9" ht="24" customHeight="1">
      <c r="A2" s="2" t="s">
        <v>483</v>
      </c>
      <c r="B2" s="2"/>
      <c r="C2" s="2"/>
      <c r="D2" s="2"/>
      <c r="E2" s="2"/>
      <c r="F2" s="2"/>
      <c r="G2" s="2"/>
      <c r="H2" s="2"/>
      <c r="I2" s="2"/>
    </row>
    <row r="3" spans="1:9" ht="28.05" customHeight="1"/>
    <row r="4" spans="1:9" ht="34.049999999999997" customHeight="1">
      <c r="A4" s="3" t="s">
        <v>484</v>
      </c>
      <c r="B4" s="3" t="s">
        <v>485</v>
      </c>
      <c r="C4" s="3" t="s">
        <v>486</v>
      </c>
      <c r="D4" s="3" t="s">
        <v>487</v>
      </c>
      <c r="E4" s="3" t="s">
        <v>488</v>
      </c>
      <c r="F4" s="3" t="s">
        <v>489</v>
      </c>
      <c r="G4" s="3" t="s">
        <v>490</v>
      </c>
      <c r="H4" s="3" t="s">
        <v>491</v>
      </c>
      <c r="I4" s="3" t="s">
        <v>492</v>
      </c>
    </row>
    <row r="5" spans="1:9" ht="28.05" customHeight="1">
      <c r="A5" s="4" t="s">
        <v>493</v>
      </c>
      <c r="B5" s="4" t="s">
        <v>494</v>
      </c>
      <c r="C5" s="5">
        <v>50</v>
      </c>
      <c r="D5" s="5">
        <v>2.5</v>
      </c>
      <c r="E5" s="5">
        <v>10</v>
      </c>
      <c r="F5" s="5">
        <v>5</v>
      </c>
      <c r="G5" s="5">
        <v>8</v>
      </c>
      <c r="H5" s="4" t="s">
        <v>495</v>
      </c>
      <c r="I5" s="4" t="s">
        <v>496</v>
      </c>
    </row>
    <row r="6" spans="1:9" ht="28.05" customHeight="1">
      <c r="A6" s="4" t="s">
        <v>497</v>
      </c>
      <c r="B6" s="4" t="s">
        <v>498</v>
      </c>
      <c r="C6" s="5">
        <v>200</v>
      </c>
      <c r="D6" s="5">
        <v>4</v>
      </c>
      <c r="E6" s="5">
        <v>10</v>
      </c>
      <c r="F6" s="5">
        <v>20</v>
      </c>
      <c r="G6" s="5">
        <v>8</v>
      </c>
      <c r="H6" s="4" t="s">
        <v>495</v>
      </c>
      <c r="I6" s="4" t="s">
        <v>499</v>
      </c>
    </row>
    <row r="7" spans="1:9" ht="28.05" customHeight="1">
      <c r="A7" s="4" t="s">
        <v>500</v>
      </c>
      <c r="B7" s="4" t="s">
        <v>501</v>
      </c>
      <c r="C7" s="5">
        <v>200</v>
      </c>
      <c r="D7" s="5">
        <v>2.5</v>
      </c>
      <c r="E7" s="5">
        <v>10</v>
      </c>
      <c r="F7" s="5">
        <v>10</v>
      </c>
      <c r="G7" s="5">
        <v>8</v>
      </c>
      <c r="H7" s="4" t="s">
        <v>502</v>
      </c>
      <c r="I7" s="4" t="s">
        <v>503</v>
      </c>
    </row>
    <row r="8" spans="1:9" ht="28.05" customHeight="1">
      <c r="A8" s="4" t="s">
        <v>504</v>
      </c>
      <c r="B8" s="4" t="s">
        <v>505</v>
      </c>
      <c r="C8" s="5">
        <v>200</v>
      </c>
      <c r="D8" s="5">
        <v>2.5</v>
      </c>
      <c r="E8" s="5">
        <v>10</v>
      </c>
      <c r="F8" s="5">
        <v>10</v>
      </c>
      <c r="G8" s="5">
        <v>8</v>
      </c>
      <c r="H8" s="4" t="s">
        <v>506</v>
      </c>
      <c r="I8" s="4" t="s">
        <v>503</v>
      </c>
    </row>
    <row r="9" spans="1:9" ht="28.05" customHeight="1">
      <c r="A9" s="6" t="s">
        <v>507</v>
      </c>
      <c r="B9" s="6" t="s">
        <v>508</v>
      </c>
      <c r="C9" s="7">
        <v>2000</v>
      </c>
      <c r="D9" s="7">
        <v>2.5</v>
      </c>
      <c r="E9" s="7">
        <v>10</v>
      </c>
      <c r="F9" s="7">
        <v>100</v>
      </c>
      <c r="G9" s="7">
        <v>16</v>
      </c>
      <c r="H9" s="6" t="s">
        <v>509</v>
      </c>
      <c r="I9" s="6" t="s">
        <v>510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showGridLines="0" workbookViewId="0"/>
  </sheetViews>
  <sheetFormatPr defaultRowHeight="13.5"/>
  <cols>
    <col min="1" max="1" width="18" customWidth="1"/>
    <col min="2" max="2" width="100" customWidth="1"/>
  </cols>
  <sheetData>
    <row r="1" spans="1:2" ht="26" customHeight="1">
      <c r="A1" s="1" t="s">
        <v>511</v>
      </c>
      <c r="B1" s="1"/>
    </row>
    <row r="3" spans="1:2" ht="32" customHeight="1">
      <c r="A3" s="8" t="s">
        <v>512</v>
      </c>
      <c r="B3" s="9" t="s">
        <v>513</v>
      </c>
    </row>
    <row r="4" spans="1:2" ht="32" customHeight="1">
      <c r="A4" s="10" t="s">
        <v>514</v>
      </c>
      <c r="B4" s="11" t="s">
        <v>515</v>
      </c>
    </row>
    <row r="5" spans="1:2" ht="32" customHeight="1">
      <c r="A5" s="10" t="s">
        <v>516</v>
      </c>
      <c r="B5" s="11" t="s">
        <v>517</v>
      </c>
    </row>
    <row r="6" spans="1:2" ht="32" customHeight="1">
      <c r="A6" s="10" t="s">
        <v>518</v>
      </c>
      <c r="B6" s="11" t="s">
        <v>519</v>
      </c>
    </row>
    <row r="7" spans="1:2" ht="32" customHeight="1">
      <c r="A7" s="10" t="s">
        <v>520</v>
      </c>
      <c r="B7" s="11" t="s">
        <v>521</v>
      </c>
    </row>
    <row r="8" spans="1:2" ht="32" customHeight="1">
      <c r="A8" s="10" t="s">
        <v>522</v>
      </c>
      <c r="B8" s="11" t="s">
        <v>523</v>
      </c>
    </row>
    <row r="9" spans="1:2" ht="32" customHeight="1">
      <c r="A9" s="10" t="s">
        <v>524</v>
      </c>
      <c r="B9" s="11" t="s">
        <v>525</v>
      </c>
    </row>
    <row r="10" spans="1:2" ht="32" customHeight="1">
      <c r="A10" s="10" t="s">
        <v>526</v>
      </c>
      <c r="B10" s="11" t="s">
        <v>527</v>
      </c>
    </row>
    <row r="11" spans="1:2" ht="32" customHeight="1">
      <c r="A11" s="10" t="s">
        <v>4</v>
      </c>
      <c r="B11" s="11" t="s">
        <v>528</v>
      </c>
    </row>
    <row r="12" spans="1:2" ht="32" customHeight="1">
      <c r="A12" s="10" t="s">
        <v>529</v>
      </c>
      <c r="B12" s="11" t="s">
        <v>530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波次明细</vt:lpstr>
      <vt:lpstr>敌人基础数值</vt:lpstr>
      <vt:lpstr>规则说明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拾柒 张</cp:lastModifiedBy>
  <dcterms:modified xsi:type="dcterms:W3CDTF">2026-09-23T02:47:38Z</dcterms:modified>
</cp:coreProperties>
</file>